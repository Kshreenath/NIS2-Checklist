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kshreenathbohra/Downloads/nis2 Checklist/"/>
    </mc:Choice>
  </mc:AlternateContent>
  <xr:revisionPtr revIDLastSave="0" documentId="13_ncr:1_{AAAC7595-150A-3B41-B00E-2172872A46F0}" xr6:coauthVersionLast="47" xr6:coauthVersionMax="47" xr10:uidLastSave="{00000000-0000-0000-0000-000000000000}"/>
  <bookViews>
    <workbookView xWindow="0" yWindow="740" windowWidth="29400" windowHeight="18380" tabRatio="500" xr2:uid="{00000000-000D-0000-FFFF-FFFF00000000}"/>
  </bookViews>
  <sheets>
    <sheet name="Instructions" sheetId="1" r:id="rId1"/>
    <sheet name="NIS2 Requirements" sheetId="2" r:id="rId2"/>
    <sheet name="Gap Assessment" sheetId="3" r:id="rId3"/>
    <sheet name="GDPR Crosswalk" sheetId="4" r:id="rId4"/>
    <sheet name="ISO 27001 Crosswalk" sheetId="5" r:id="rId5"/>
    <sheet name="Priority &amp; Roadmap" sheetId="6" r:id="rId6"/>
    <sheet name="Compliance Dashboard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6" i="7" l="1"/>
  <c r="B4" i="7"/>
  <c r="G17" i="6"/>
  <c r="G15" i="6"/>
  <c r="B23" i="7" s="1"/>
  <c r="B27" i="3"/>
  <c r="B11" i="7" s="1"/>
  <c r="B26" i="3"/>
  <c r="B10" i="7" s="1"/>
  <c r="B25" i="3"/>
  <c r="B9" i="7" s="1"/>
  <c r="B24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F2" i="3"/>
</calcChain>
</file>

<file path=xl/sharedStrings.xml><?xml version="1.0" encoding="utf-8"?>
<sst xmlns="http://schemas.openxmlformats.org/spreadsheetml/2006/main" count="536" uniqueCount="366">
  <si>
    <t>NIS2 Compliance Gap Assessment &amp; Crosswalk Tool</t>
  </si>
  <si>
    <t>Purpose</t>
  </si>
  <si>
    <t>This tool helps organizations assess their NIS2 compliance readiness and identify efficiency opportunities through integrated compliance planning.</t>
  </si>
  <si>
    <t>How to Use This Tool</t>
  </si>
  <si>
    <t>Step 1</t>
  </si>
  <si>
    <t>Review NIS2 Article 21 Requirements tab to understand all security measures</t>
  </si>
  <si>
    <t>Step 2</t>
  </si>
  <si>
    <t>Complete the Gap Assessment tab by scoring your current implementation (0-3 scale)</t>
  </si>
  <si>
    <t>Step 3</t>
  </si>
  <si>
    <t>Review GDPR and ISO 27001 Crosswalks to identify overlap opportunities</t>
  </si>
  <si>
    <t>Step 4</t>
  </si>
  <si>
    <t>Use Priority &amp; Roadmap tab to sequence implementation based on risk and compliance timeline</t>
  </si>
  <si>
    <t>Step 5</t>
  </si>
  <si>
    <t>Reference Compliance Dashboard for executive summary and status tracking</t>
  </si>
  <si>
    <t>Scoring Guide for Gap Assessment</t>
  </si>
  <si>
    <t>Score</t>
  </si>
  <si>
    <t>Description</t>
  </si>
  <si>
    <t>0 - Not Implemented</t>
  </si>
  <si>
    <t>No controls or processes in place</t>
  </si>
  <si>
    <t>1 - Initial</t>
  </si>
  <si>
    <t>Ad-hoc or informal processes; minimal documentation</t>
  </si>
  <si>
    <t>2 - Developing</t>
  </si>
  <si>
    <t>Documented processes; inconsistent implementation</t>
  </si>
  <si>
    <t>3 - Mature</t>
  </si>
  <si>
    <t>Consistent implementation; regularly reviewed and updated</t>
  </si>
  <si>
    <t>Color Coding</t>
  </si>
  <si>
    <t>Blue text: User input cells</t>
  </si>
  <si>
    <t>Yellow background: Areas requiring attention or input</t>
  </si>
  <si>
    <t>Orange background: Critical compliance gaps identified</t>
  </si>
  <si>
    <t>Green background: Controls meeting requirements</t>
  </si>
  <si>
    <t>vCISO Value Indicators</t>
  </si>
  <si>
    <t>Throughout this tool, you will see indicators showing where virtual CISO expertise typically adds significant value:</t>
  </si>
  <si>
    <t>🔧 Technical Complexity - Requires specialized security architecture knowledge</t>
  </si>
  <si>
    <t>📋 Process Design - Needs experience designing security processes at scale</t>
  </si>
  <si>
    <t>⚖️ Risk Assessment - Requires risk quantification and business context expertise</t>
  </si>
  <si>
    <t>🔄 Ongoing Management - Benefits from continuous expert oversight and optimization</t>
  </si>
  <si>
    <t>ID</t>
  </si>
  <si>
    <t>Article 21(2) Measure</t>
  </si>
  <si>
    <t>Specific Requirement</t>
  </si>
  <si>
    <t>Regulatory Language</t>
  </si>
  <si>
    <t>Baseline Control</t>
  </si>
  <si>
    <t>Enhanced Control</t>
  </si>
  <si>
    <t>vCISO Value</t>
  </si>
  <si>
    <t>21.2.a</t>
  </si>
  <si>
    <t>Risk Analysis &amp; Information Security Policies</t>
  </si>
  <si>
    <t>Policies for risk analysis</t>
  </si>
  <si>
    <t>Must identify and assess cybersecurity risks to network and information systems</t>
  </si>
  <si>
    <t>Annual risk assessment; documented information security policy approved by management</t>
  </si>
  <si>
    <t>Continuous risk monitoring; board-level risk governance; quantified risk metrics (e.g., FAIR)</t>
  </si>
  <si>
    <t>⚖️ 📋</t>
  </si>
  <si>
    <t>Information system security policies</t>
  </si>
  <si>
    <t>Must have comprehensive security policies covering all Article 21 measures</t>
  </si>
  <si>
    <t>Core security policies (acceptable use, access control, encryption); annual review</t>
  </si>
  <si>
    <t>Policy framework integrated with enterprise risk management; quarterly reviews; automated compliance monitoring</t>
  </si>
  <si>
    <t>📋 🔄</t>
  </si>
  <si>
    <t>21.2.b</t>
  </si>
  <si>
    <t>Incident Handling</t>
  </si>
  <si>
    <t>Incident detection capabilities</t>
  </si>
  <si>
    <t>Must have processes to detect cybersecurity incidents promptly</t>
  </si>
  <si>
    <t>Basic logging on critical systems; manual log review; incident classification matrix</t>
  </si>
  <si>
    <t>SIEM with correlation rules; automated threat detection; integration with threat intelligence</t>
  </si>
  <si>
    <t>🔧 🔄</t>
  </si>
  <si>
    <t>24-hour early warning</t>
  </si>
  <si>
    <t>Must notify CSIRT of significant incidents within 24 hours of becoming aware</t>
  </si>
  <si>
    <t>Manual notification procedure; incident severity matrix; contact list maintained</t>
  </si>
  <si>
    <t>Automated severity assessment; workflow automation for notifications; legal review integration</t>
  </si>
  <si>
    <t>72-hour detailed notification</t>
  </si>
  <si>
    <t>Must provide detailed incident report to CSIRT within 72 hours</t>
  </si>
  <si>
    <t>Incident report template; evidence collection checklist; notification procedure</t>
  </si>
  <si>
    <t>Automated evidence collection; integrated reporting workflow; lessons learned database</t>
  </si>
  <si>
    <t>Incident response procedures</t>
  </si>
  <si>
    <t>Must have documented incident response and recovery procedures</t>
  </si>
  <si>
    <t>Incident response plan; defined roles and responsibilities; annual testing</t>
  </si>
  <si>
    <t>Playbooks for common scenarios; automated containment procedures; quarterly tabletop exercises</t>
  </si>
  <si>
    <t>🔧 📋</t>
  </si>
  <si>
    <t>21.2.c</t>
  </si>
  <si>
    <t>Business Continuity &amp; Crisis Management</t>
  </si>
  <si>
    <t>Business continuity planning</t>
  </si>
  <si>
    <t>Must maintain business continuity to ensure availability of network and information systems</t>
  </si>
  <si>
    <t>Business impact analysis; documented continuity plans for critical systems; annual testing</t>
  </si>
  <si>
    <t>Comprehensive BCP across all critical services; automated failover; quarterly testing with metrics</t>
  </si>
  <si>
    <t>Backup management</t>
  </si>
  <si>
    <t>Must have backup systems and disaster recovery procedures</t>
  </si>
  <si>
    <t>Regular backups of critical data; documented recovery procedures; annual recovery testing</t>
  </si>
  <si>
    <t>Automated immutable backups; geo-redundant storage; continuous data protection; quarterly DR drills</t>
  </si>
  <si>
    <t>Crisis management</t>
  </si>
  <si>
    <t>Must have crisis management procedures for cybersecurity incidents</t>
  </si>
  <si>
    <t>Crisis management plan; communication procedures; crisis team identified</t>
  </si>
  <si>
    <t>Integrated crisis command structure; automated stakeholder notifications; simulation exercises</t>
  </si>
  <si>
    <t>📋</t>
  </si>
  <si>
    <t>21.2.d</t>
  </si>
  <si>
    <t>Supply Chain Security</t>
  </si>
  <si>
    <t>Security requirements for suppliers</t>
  </si>
  <si>
    <t>Must address information security in supplier relationships</t>
  </si>
  <si>
    <t>Vendor security questionnaire; contractual security clauses; critical vendor inventory</t>
  </si>
  <si>
    <t>Risk-based vendor classification; continuous vendor monitoring; fourth-party risk assessment</t>
  </si>
  <si>
    <t>⚖️ 🔄</t>
  </si>
  <si>
    <t>Third-party risk assessment</t>
  </si>
  <si>
    <t>Must assess cybersecurity risks posed by critical suppliers</t>
  </si>
  <si>
    <t>Annual vendor assessments; security requirements in contracts; documented approval process</t>
  </si>
  <si>
    <t>Automated vendor risk scoring; continuous monitoring; supply chain attack scenario planning</t>
  </si>
  <si>
    <t>⚖️ 🔧</t>
  </si>
  <si>
    <t>21.2.e</t>
  </si>
  <si>
    <t>Security in Network Acquisition</t>
  </si>
  <si>
    <t>Secure procurement</t>
  </si>
  <si>
    <t>Must consider security in acquisition, development, and maintenance of systems</t>
  </si>
  <si>
    <t>Security requirements in procurement specifications; secure SDLC for custom development</t>
  </si>
  <si>
    <t>Security architecture review for all systems; DevSecOps integration; automated security testing</t>
  </si>
  <si>
    <t>21.2.f</t>
  </si>
  <si>
    <t>Vulnerability Management</t>
  </si>
  <si>
    <t>Vulnerability handling and disclosure</t>
  </si>
  <si>
    <t>Must have policies for handling and disclosing vulnerabilities</t>
  </si>
  <si>
    <t>Vulnerability management policy; coordinated disclosure procedure; patch management process</t>
  </si>
  <si>
    <t>Automated vulnerability scanning; risk-based prioritization; bug bounty program; SLA-driven patching</t>
  </si>
  <si>
    <t>21.2.g</t>
  </si>
  <si>
    <t>Cryptography</t>
  </si>
  <si>
    <t>Encryption controls</t>
  </si>
  <si>
    <t>Must have policies and procedures for cryptography including encryption</t>
  </si>
  <si>
    <t>Encryption policy; encryption for data at rest and in transit on critical systems; key management procedure</t>
  </si>
  <si>
    <t>Enterprise key management; HSM for critical keys; crypto-agility planning; quantum-safe roadmap</t>
  </si>
  <si>
    <t>21.2.h</t>
  </si>
  <si>
    <t>Human Resources Security</t>
  </si>
  <si>
    <t>Personnel security</t>
  </si>
  <si>
    <t>Must have human resources security policies including access control</t>
  </si>
  <si>
    <t>Background checks for privileged users; security awareness training; acceptable use policy</t>
  </si>
  <si>
    <t>Continuous security awareness program; role-based training; insider threat monitoring; security champions</t>
  </si>
  <si>
    <t>Security training</t>
  </si>
  <si>
    <t>Must provide regular security training to personnel</t>
  </si>
  <si>
    <t>Annual security awareness training for all staff; completion tracking</t>
  </si>
  <si>
    <t>Role-specific training; simulated phishing; micro-learning modules; training effectiveness measurement</t>
  </si>
  <si>
    <t>21.2.i</t>
  </si>
  <si>
    <t>Access Control</t>
  </si>
  <si>
    <t>Access control policies</t>
  </si>
  <si>
    <t>Must have policies concerning access control</t>
  </si>
  <si>
    <t>Access control policy; documented access approval process; periodic access reviews</t>
  </si>
  <si>
    <t>Automated access governance; just-in-time access; privileged access management; continuous certification</t>
  </si>
  <si>
    <t>21.2.j</t>
  </si>
  <si>
    <t>Asset Management</t>
  </si>
  <si>
    <t>Asset inventory</t>
  </si>
  <si>
    <t>Must have policies concerning asset management</t>
  </si>
  <si>
    <t>IT asset inventory; asset classification; asset owners assigned</t>
  </si>
  <si>
    <t>Automated asset discovery; integrated CMDB; real-time asset tracking; shadow IT detection</t>
  </si>
  <si>
    <t>🔄</t>
  </si>
  <si>
    <t>21.2.k</t>
  </si>
  <si>
    <t>Multi-Factor Authentication</t>
  </si>
  <si>
    <t>MFA implementation</t>
  </si>
  <si>
    <t>Must use multi-factor or continuous authentication for internal staff, external ICT service management</t>
  </si>
  <si>
    <t>MFA enforced for VPN and privileged access; enrollment process documented</t>
  </si>
  <si>
    <t>Phishing-resistant MFA (FIDO2/WebAuthn); risk-based authentication; continuous authentication; MFA for all systems</t>
  </si>
  <si>
    <t>🔧</t>
  </si>
  <si>
    <t>Measure</t>
  </si>
  <si>
    <t>Requirement</t>
  </si>
  <si>
    <t>Current Score (0-3)</t>
  </si>
  <si>
    <t>Evidence/Notes</t>
  </si>
  <si>
    <t>Gap Severity</t>
  </si>
  <si>
    <t>Target Date</t>
  </si>
  <si>
    <t>Owner</t>
  </si>
  <si>
    <t>Compliance Summary</t>
  </si>
  <si>
    <t>Average Maturity Score:</t>
  </si>
  <si>
    <t>Critical Gaps:</t>
  </si>
  <si>
    <t>High Priority Gaps:</t>
  </si>
  <si>
    <t>Controls at Target (Score 3):</t>
  </si>
  <si>
    <t>Key Insight: Approximately 55% of NIS2 requirements overlap with GDPR obligations. Implementing NIS2 controls strategically can address both compliance frameworks simultaneously, reducing overall effort and cost.</t>
  </si>
  <si>
    <t>NIS2 ID</t>
  </si>
  <si>
    <t>NIS2 Requirement</t>
  </si>
  <si>
    <t>GDPR Article</t>
  </si>
  <si>
    <t>GDPR Requirement</t>
  </si>
  <si>
    <t>Overlap Description</t>
  </si>
  <si>
    <t>Efficiency Opportunity</t>
  </si>
  <si>
    <t>Risk analysis</t>
  </si>
  <si>
    <t>Art. 32</t>
  </si>
  <si>
    <t>Security of processing</t>
  </si>
  <si>
    <t>Both require risk-based approach to security measures</t>
  </si>
  <si>
    <t>Single risk assessment process can satisfy both requirements; use same risk methodology</t>
  </si>
  <si>
    <t>Information security policies</t>
  </si>
  <si>
    <t>Security measures</t>
  </si>
  <si>
    <t>GDPR requires appropriate technical and organizational measures</t>
  </si>
  <si>
    <t>Information security policies cover GDPR security requirements; single policy framework</t>
  </si>
  <si>
    <t>Incident handling</t>
  </si>
  <si>
    <t>Art. 33</t>
  </si>
  <si>
    <t>Breach notification</t>
  </si>
  <si>
    <t>Both require incident detection and notification procedures</t>
  </si>
  <si>
    <t>Integrated incident response covers both NIS2 and GDPR breach obligations; single incident log</t>
  </si>
  <si>
    <t>72-hour notification</t>
  </si>
  <si>
    <t>72-hour notification to DPA</t>
  </si>
  <si>
    <t>Same 72-hour timeframe for certain incidents</t>
  </si>
  <si>
    <t>Single notification workflow; determine if incident triggers both NIS2 and GDPR reporting</t>
  </si>
  <si>
    <t>Business continuity</t>
  </si>
  <si>
    <t>Art. 32(1)(c)</t>
  </si>
  <si>
    <t>Ability to restore availability</t>
  </si>
  <si>
    <t>Both require resilience and ability to restore access</t>
  </si>
  <si>
    <t>Business continuity plans covering both network availability and data availability</t>
  </si>
  <si>
    <t>Ability to restore data</t>
  </si>
  <si>
    <t>Both require backup and recovery capabilities</t>
  </si>
  <si>
    <t>Single backup strategy meeting both requirements; recovery testing covers both</t>
  </si>
  <si>
    <t>Supply chain security</t>
  </si>
  <si>
    <t>Art. 28</t>
  </si>
  <si>
    <t>Processor requirements</t>
  </si>
  <si>
    <t>Both require security assurances from third parties</t>
  </si>
  <si>
    <t>Vendor assessments cover both NIS2 supply chain and GDPR processor requirements; DPAs include security measures</t>
  </si>
  <si>
    <t>Art. 32(1)(a)</t>
  </si>
  <si>
    <t>Pseudonymization and encryption</t>
  </si>
  <si>
    <t>Both reference encryption as appropriate security measure</t>
  </si>
  <si>
    <t>Single encryption policy and implementation covers both; key management serves both requirements</t>
  </si>
  <si>
    <t>Art. 32(4)</t>
  </si>
  <si>
    <t>Measures to ensure ongoing security</t>
  </si>
  <si>
    <t>GDPR requires measures to ensure staff implement security</t>
  </si>
  <si>
    <t>Security awareness training program covers both requirements; single training curriculum</t>
  </si>
  <si>
    <t>Access control</t>
  </si>
  <si>
    <t>Art. 32(1)(b)</t>
  </si>
  <si>
    <t>Ability to ensure confidentiality</t>
  </si>
  <si>
    <t>Both require controls to prevent unauthorized access</t>
  </si>
  <si>
    <t>Access control policies and technical controls satisfy both; single IAM system</t>
  </si>
  <si>
    <t>Asset management</t>
  </si>
  <si>
    <t>Art. 30</t>
  </si>
  <si>
    <t>Records of processing activities</t>
  </si>
  <si>
    <t>Asset inventory overlaps with data processing records</t>
  </si>
  <si>
    <t>IT asset inventory can be extended to track systems processing personal data; integrated CMDB</t>
  </si>
  <si>
    <t>Strategic Insight: NIS2 requirements align with ~75% of ISO 27001 Annex A controls. Organizations pursuing ISO 27001 certification gain significant head start on NIS2 compliance. Certification provides third-party validation useful for regulatory reporting.</t>
  </si>
  <si>
    <t>ISO 27001 Control</t>
  </si>
  <si>
    <t>Control Name</t>
  </si>
  <si>
    <t>Mapping Notes</t>
  </si>
  <si>
    <t>Certification Benefit</t>
  </si>
  <si>
    <t>5.7</t>
  </si>
  <si>
    <t>Threat intelligence</t>
  </si>
  <si>
    <t>NIS2 risk analysis aligns with ISO 27001 risk assessment methodology</t>
  </si>
  <si>
    <t>Risk assessment documentation serves both; ISO certification demonstrates compliance</t>
  </si>
  <si>
    <t>Security policies</t>
  </si>
  <si>
    <t>5.1</t>
  </si>
  <si>
    <t>Direct mapping; ISO 27001 requires comprehensive security policies</t>
  </si>
  <si>
    <t>ISO policy framework satisfies NIS2 requirements; certification evidence</t>
  </si>
  <si>
    <t>5.24-5.28</t>
  </si>
  <si>
    <t>Incident management controls</t>
  </si>
  <si>
    <t>ISO 27001 has extensive incident management requirements</t>
  </si>
  <si>
    <t>ISO incident management process covers NIS2; incident logs serve as evidence</t>
  </si>
  <si>
    <t>5.29-5.30</t>
  </si>
  <si>
    <t>Availability controls</t>
  </si>
  <si>
    <t>ISO requires BC and disaster recovery planning</t>
  </si>
  <si>
    <t>ISO BC framework satisfies NIS2; testing documentation serves both</t>
  </si>
  <si>
    <t>Supply chain</t>
  </si>
  <si>
    <t>5.19-5.22</t>
  </si>
  <si>
    <t>Supplier relationships controls</t>
  </si>
  <si>
    <t>ISO 27001 requires supplier security management</t>
  </si>
  <si>
    <t>Supplier assessment process covers both; contracts include ISO requirements</t>
  </si>
  <si>
    <t>Secure acquisition</t>
  </si>
  <si>
    <t>5.20</t>
  </si>
  <si>
    <t>Addressing security in supplier agreements</t>
  </si>
  <si>
    <t>ISO requires security in supplier relationships</t>
  </si>
  <si>
    <t>Procurement process with ISO controls satisfies NIS2</t>
  </si>
  <si>
    <t>Vulnerability management</t>
  </si>
  <si>
    <t>8.8</t>
  </si>
  <si>
    <t>Management of technical vulnerabilities</t>
  </si>
  <si>
    <t>ISO requires vulnerability management program</t>
  </si>
  <si>
    <t>Vulnerability scanning and patching process covers both; evidence reusable</t>
  </si>
  <si>
    <t>8.24</t>
  </si>
  <si>
    <t>Use of cryptography</t>
  </si>
  <si>
    <t>ISO requires cryptography policy and procedures</t>
  </si>
  <si>
    <t>Cryptographic controls documentation serves both frameworks</t>
  </si>
  <si>
    <t>HR security</t>
  </si>
  <si>
    <t>6.1-6.6</t>
  </si>
  <si>
    <t>People controls</t>
  </si>
  <si>
    <t>ISO has comprehensive people security requirements</t>
  </si>
  <si>
    <t>HR security processes cover NIS2; training records serve both</t>
  </si>
  <si>
    <t>5.15-5.18, 8.2-8.6</t>
  </si>
  <si>
    <t>Access control suite</t>
  </si>
  <si>
    <t>Extensive ISO access control requirements align with NIS2</t>
  </si>
  <si>
    <t>IAM implementation for ISO satisfies NIS2; access reviews serve both</t>
  </si>
  <si>
    <t>5.9-5.14</t>
  </si>
  <si>
    <t>Asset management controls</t>
  </si>
  <si>
    <t>ISO requires comprehensive asset management</t>
  </si>
  <si>
    <t>Asset inventory and classification process covers both frameworks</t>
  </si>
  <si>
    <t>Multi-factor authentication</t>
  </si>
  <si>
    <t>5.17</t>
  </si>
  <si>
    <t>Authentication information</t>
  </si>
  <si>
    <t>ISO requires strong authentication; MFA is best practice</t>
  </si>
  <si>
    <t>MFA implementation demonstrates ISO compliance and NIS2 compliance</t>
  </si>
  <si>
    <t>Implementation Roadmap: This phased approach prioritizes quick wins and regulatory compliance while building toward mature security posture. Timelines assume part-time internal resources + vCISO guidance.</t>
  </si>
  <si>
    <t>Phase</t>
  </si>
  <si>
    <t>Timeline</t>
  </si>
  <si>
    <t>Rationale</t>
  </si>
  <si>
    <t>Dependencies</t>
  </si>
  <si>
    <t>Effort (Days)</t>
  </si>
  <si>
    <t>vCISO Support</t>
  </si>
  <si>
    <t>Phase 1</t>
  </si>
  <si>
    <t>Months 0-3</t>
  </si>
  <si>
    <t>Foundation for all other controls; quick win demonstrating progress</t>
  </si>
  <si>
    <t>None - starting point</t>
  </si>
  <si>
    <t>10</t>
  </si>
  <si>
    <t>Framework selection; classification scheme; tooling recommendations</t>
  </si>
  <si>
    <t>Risk analysis &amp; policies</t>
  </si>
  <si>
    <t>Required by regulation; establishes governance foundation</t>
  </si>
  <si>
    <t>15</t>
  </si>
  <si>
    <t>Risk methodology selection; policy framework design; board presentation</t>
  </si>
  <si>
    <t>Basic incident handling</t>
  </si>
  <si>
    <t>Early warning required by law; demonstrates regulatory responsiveness</t>
  </si>
  <si>
    <t>12</t>
  </si>
  <si>
    <t>Incident classification; CSIRT contact procedures; notification templates</t>
  </si>
  <si>
    <t>Relatively easy technical control; high security value; explicitly required</t>
  </si>
  <si>
    <t>None - can parallel</t>
  </si>
  <si>
    <t>8</t>
  </si>
  <si>
    <t>Solution selection; phishing-resistant MFA guidance; rollout planning</t>
  </si>
  <si>
    <t>Phase 2</t>
  </si>
  <si>
    <t>Months 3-6</t>
  </si>
  <si>
    <t>Access control implementation</t>
  </si>
  <si>
    <t>Builds on MFA; critical for data protection</t>
  </si>
  <si>
    <t>MFA, Asset inventory</t>
  </si>
  <si>
    <t>20</t>
  </si>
  <si>
    <t>IAM architecture; role-based access design; PAM implementation</t>
  </si>
  <si>
    <t>Required for ongoing security; manageable scope</t>
  </si>
  <si>
    <t>Tooling selection; risk-based prioritization; SLA definition</t>
  </si>
  <si>
    <t>Cryptography implementation</t>
  </si>
  <si>
    <t>Technical control; required for data protection</t>
  </si>
  <si>
    <t>Asset inventory, Policies</t>
  </si>
  <si>
    <t>18</t>
  </si>
  <si>
    <t>Encryption strategy; key management design; implementation roadmap</t>
  </si>
  <si>
    <t>Security awareness program</t>
  </si>
  <si>
    <t>Enables other controls; regulatory requirement</t>
  </si>
  <si>
    <t>Policies</t>
  </si>
  <si>
    <t>Program design; content development; effectiveness measurement</t>
  </si>
  <si>
    <t>Phase 3</t>
  </si>
  <si>
    <t>Months 6-12</t>
  </si>
  <si>
    <t>Advanced incident response</t>
  </si>
  <si>
    <t>Mature incident capabilities beyond basic compliance</t>
  </si>
  <si>
    <t>25</t>
  </si>
  <si>
    <t>Playbook development; tabletop exercises; CSIRT integration; automation</t>
  </si>
  <si>
    <t>Business continuity &amp; DR</t>
  </si>
  <si>
    <t>Complex; requires business involvement; builds on other controls</t>
  </si>
  <si>
    <t>Risk analysis, Asset inventory, Backup</t>
  </si>
  <si>
    <t>30</t>
  </si>
  <si>
    <t>BIA facilitation; RTO/RPO determination; plan development; testing coordination</t>
  </si>
  <si>
    <t>Supply chain security program</t>
  </si>
  <si>
    <t>Most complex NIS2 requirement; requires mature processes</t>
  </si>
  <si>
    <t>Policies, Risk analysis, Asset inventory</t>
  </si>
  <si>
    <t>35</t>
  </si>
  <si>
    <t>Vendor classification; assessment program design; contractual terms; ongoing monitoring</t>
  </si>
  <si>
    <t>Process maturation; integration into procurement</t>
  </si>
  <si>
    <t>Policies, Supply chain program</t>
  </si>
  <si>
    <t>Requirements development; procurement integration; security architecture review</t>
  </si>
  <si>
    <t>Total Effort (Days):</t>
  </si>
  <si>
    <t>NIS2 COMPLIANCE DASHBOARD</t>
  </si>
  <si>
    <t>Overall Compliance Status</t>
  </si>
  <si>
    <t>Target Maturity:</t>
  </si>
  <si>
    <t>2.5</t>
  </si>
  <si>
    <t>Overall Progress:</t>
  </si>
  <si>
    <t>Gap Analysis Summary</t>
  </si>
  <si>
    <t>Controls at Target:</t>
  </si>
  <si>
    <t>Framework Integration</t>
  </si>
  <si>
    <t>GDPR Overlap Opportunities:</t>
  </si>
  <si>
    <t>11 control areas</t>
  </si>
  <si>
    <t>ISO 27001 Alignment:</t>
  </si>
  <si>
    <t>12 control families</t>
  </si>
  <si>
    <t>Implementation Timeline</t>
  </si>
  <si>
    <t>Phase 1 (0-3m):</t>
  </si>
  <si>
    <t>4 requirements</t>
  </si>
  <si>
    <t>Phase 2 (3-6m):</t>
  </si>
  <si>
    <t>Phase 3 (6-12m):</t>
  </si>
  <si>
    <t>Estimated Effort</t>
  </si>
  <si>
    <t>Total Implementation Days:</t>
  </si>
  <si>
    <t>Recommended vCISO Engagement:</t>
  </si>
  <si>
    <t>20-30% of total effort</t>
  </si>
  <si>
    <t>Next Steps</t>
  </si>
  <si>
    <t>1. Complete Gap Assessment tab with current state scoring</t>
  </si>
  <si>
    <t>2. Review crosswalks to identify efficiency opportunities</t>
  </si>
  <si>
    <t>3. Customize implementation roadmap based on your priorities</t>
  </si>
  <si>
    <t>4. Identify internal resources and vCISO support needs</t>
  </si>
  <si>
    <t>5. Schedule executive presentation on compliance strategy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</si>
</sst>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charset val="1"/>
    </font>
    <font>
      <b/>
      <sz val="16"/>
      <color rgb="FF1F4E78"/>
      <name val="Cambria"/>
      <family val="1"/>
    </font>
    <font>
      <b/>
      <sz val="12"/>
      <name val="Cambria"/>
      <family val="1"/>
    </font>
    <font>
      <b/>
      <sz val="11"/>
      <name val="Cambria"/>
      <family val="1"/>
    </font>
    <font>
      <sz val="11"/>
      <color rgb="FF0000FF"/>
      <name val="Cambria"/>
      <family val="1"/>
    </font>
    <font>
      <b/>
      <sz val="12"/>
      <color rgb="FFFFFFFF"/>
      <name val="Cambria"/>
      <family val="1"/>
    </font>
    <font>
      <sz val="11"/>
      <color rgb="FF000000"/>
      <name val="Cambria"/>
      <family val="1"/>
    </font>
    <font>
      <b/>
      <i/>
      <sz val="11"/>
      <color rgb="FF1F4E78"/>
      <name val="Cambria"/>
      <family val="1"/>
    </font>
    <font>
      <b/>
      <sz val="12"/>
      <color rgb="FF1F4E78"/>
      <name val="Cambria"/>
      <family val="1"/>
    </font>
    <font>
      <b/>
      <sz val="16"/>
      <color rgb="FFFF0000"/>
      <name val="Cambria"/>
      <family val="1"/>
    </font>
  </fonts>
  <fills count="9">
    <fill>
      <patternFill patternType="none"/>
    </fill>
    <fill>
      <patternFill patternType="gray125"/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C6E0B4"/>
        <bgColor rgb="FFC5E0B4"/>
      </patternFill>
    </fill>
    <fill>
      <patternFill patternType="solid">
        <fgColor rgb="FF1F4E78"/>
        <bgColor rgb="FF003366"/>
      </patternFill>
    </fill>
    <fill>
      <patternFill patternType="solid">
        <fgColor rgb="FFC5E0B4"/>
        <bgColor rgb="FFC6E0B4"/>
      </patternFill>
    </fill>
    <fill>
      <patternFill patternType="solid">
        <fgColor rgb="FFFFE699"/>
        <bgColor rgb="FFFFF2CC"/>
      </patternFill>
    </fill>
    <fill>
      <patternFill patternType="solid">
        <fgColor rgb="FFF4B084"/>
        <bgColor rgb="FFFF99C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2" xfId="0" applyFont="1" applyBorder="1"/>
    <xf numFmtId="0" fontId="7" fillId="0" borderId="0" xfId="0" applyFont="1" applyAlignment="1">
      <alignment wrapText="1"/>
    </xf>
    <xf numFmtId="0" fontId="2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5" fillId="5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6" fillId="0" borderId="1" xfId="0" applyFont="1" applyBorder="1" applyAlignment="1">
      <alignment horizontal="center"/>
    </xf>
    <xf numFmtId="164" fontId="6" fillId="0" borderId="0" xfId="0" applyNumberFormat="1" applyFont="1"/>
    <xf numFmtId="0" fontId="6" fillId="0" borderId="0" xfId="0" applyFont="1"/>
    <xf numFmtId="0" fontId="0" fillId="4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0" fillId="7" borderId="1" xfId="0" applyFill="1" applyBorder="1" applyAlignment="1">
      <alignment vertical="top" wrapText="1"/>
    </xf>
    <xf numFmtId="0" fontId="0" fillId="8" borderId="1" xfId="0" applyFill="1" applyBorder="1" applyAlignment="1">
      <alignment vertical="top" wrapText="1"/>
    </xf>
    <xf numFmtId="0" fontId="0" fillId="0" borderId="1" xfId="0" applyBorder="1"/>
    <xf numFmtId="0" fontId="2" fillId="0" borderId="1" xfId="0" applyFont="1" applyBorder="1"/>
    <xf numFmtId="164" fontId="6" fillId="0" borderId="1" xfId="0" applyNumberFormat="1" applyFont="1" applyBorder="1"/>
    <xf numFmtId="0" fontId="3" fillId="0" borderId="1" xfId="0" applyFont="1" applyBorder="1"/>
    <xf numFmtId="9" fontId="6" fillId="0" borderId="1" xfId="0" applyNumberFormat="1" applyFont="1" applyBorder="1"/>
    <xf numFmtId="0" fontId="6" fillId="0" borderId="1" xfId="0" applyFont="1" applyBorder="1"/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E0B4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FCE4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4B084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"/>
  <sheetViews>
    <sheetView tabSelected="1" topLeftCell="A28" zoomScale="219" zoomScaleNormal="100" workbookViewId="0">
      <selection activeCell="A6" sqref="A6"/>
    </sheetView>
  </sheetViews>
  <sheetFormatPr baseColWidth="10" defaultColWidth="8.6640625" defaultRowHeight="15" x14ac:dyDescent="0.2"/>
  <cols>
    <col min="1" max="1" width="50" customWidth="1"/>
    <col min="2" max="2" width="80" customWidth="1"/>
  </cols>
  <sheetData>
    <row r="1" spans="1:2" ht="19.5" customHeight="1" x14ac:dyDescent="0.25">
      <c r="A1" s="28" t="s">
        <v>0</v>
      </c>
      <c r="B1" s="28"/>
    </row>
    <row r="3" spans="1:2" ht="15" customHeight="1" x14ac:dyDescent="0.2">
      <c r="A3" s="4" t="s">
        <v>1</v>
      </c>
    </row>
    <row r="4" spans="1:2" ht="15" customHeight="1" x14ac:dyDescent="0.2">
      <c r="A4" t="s">
        <v>2</v>
      </c>
    </row>
    <row r="6" spans="1:2" ht="15" customHeight="1" x14ac:dyDescent="0.2">
      <c r="A6" s="4" t="s">
        <v>3</v>
      </c>
    </row>
    <row r="7" spans="1:2" ht="15" customHeight="1" x14ac:dyDescent="0.2">
      <c r="A7" s="5" t="s">
        <v>4</v>
      </c>
      <c r="B7" t="s">
        <v>5</v>
      </c>
    </row>
    <row r="8" spans="1:2" ht="15" customHeight="1" x14ac:dyDescent="0.2">
      <c r="A8" s="5" t="s">
        <v>6</v>
      </c>
      <c r="B8" t="s">
        <v>7</v>
      </c>
    </row>
    <row r="9" spans="1:2" ht="15" customHeight="1" x14ac:dyDescent="0.2">
      <c r="A9" s="5" t="s">
        <v>8</v>
      </c>
      <c r="B9" t="s">
        <v>9</v>
      </c>
    </row>
    <row r="10" spans="1:2" ht="15" customHeight="1" x14ac:dyDescent="0.2">
      <c r="A10" s="5" t="s">
        <v>10</v>
      </c>
      <c r="B10" t="s">
        <v>11</v>
      </c>
    </row>
    <row r="11" spans="1:2" ht="15" customHeight="1" x14ac:dyDescent="0.2">
      <c r="A11" s="5" t="s">
        <v>12</v>
      </c>
      <c r="B11" t="s">
        <v>13</v>
      </c>
    </row>
    <row r="13" spans="1:2" ht="15" customHeight="1" x14ac:dyDescent="0.2">
      <c r="A13" s="4" t="s">
        <v>14</v>
      </c>
    </row>
    <row r="14" spans="1:2" ht="15" customHeight="1" x14ac:dyDescent="0.2">
      <c r="A14" s="5" t="s">
        <v>15</v>
      </c>
      <c r="B14" s="5" t="s">
        <v>16</v>
      </c>
    </row>
    <row r="15" spans="1:2" ht="15" customHeight="1" x14ac:dyDescent="0.2">
      <c r="A15" t="s">
        <v>17</v>
      </c>
      <c r="B15" t="s">
        <v>18</v>
      </c>
    </row>
    <row r="16" spans="1:2" ht="15" customHeight="1" x14ac:dyDescent="0.2">
      <c r="A16" t="s">
        <v>19</v>
      </c>
      <c r="B16" t="s">
        <v>20</v>
      </c>
    </row>
    <row r="17" spans="1:2" ht="15" customHeight="1" x14ac:dyDescent="0.2">
      <c r="A17" t="s">
        <v>21</v>
      </c>
      <c r="B17" t="s">
        <v>22</v>
      </c>
    </row>
    <row r="18" spans="1:2" ht="15" customHeight="1" x14ac:dyDescent="0.2">
      <c r="A18" t="s">
        <v>23</v>
      </c>
      <c r="B18" t="s">
        <v>24</v>
      </c>
    </row>
    <row r="20" spans="1:2" ht="15" customHeight="1" x14ac:dyDescent="0.2">
      <c r="A20" s="4" t="s">
        <v>25</v>
      </c>
    </row>
    <row r="21" spans="1:2" ht="15" customHeight="1" x14ac:dyDescent="0.2">
      <c r="A21" s="6" t="s">
        <v>26</v>
      </c>
    </row>
    <row r="22" spans="1:2" ht="15" customHeight="1" x14ac:dyDescent="0.2">
      <c r="A22" s="7" t="s">
        <v>27</v>
      </c>
    </row>
    <row r="23" spans="1:2" ht="15" customHeight="1" x14ac:dyDescent="0.2">
      <c r="A23" s="8" t="s">
        <v>28</v>
      </c>
    </row>
    <row r="24" spans="1:2" ht="15" customHeight="1" x14ac:dyDescent="0.2">
      <c r="A24" s="9" t="s">
        <v>29</v>
      </c>
    </row>
    <row r="26" spans="1:2" ht="15" customHeight="1" x14ac:dyDescent="0.2">
      <c r="A26" s="4" t="s">
        <v>30</v>
      </c>
    </row>
    <row r="27" spans="1:2" ht="15" customHeight="1" x14ac:dyDescent="0.2">
      <c r="A27" t="s">
        <v>31</v>
      </c>
    </row>
    <row r="28" spans="1:2" ht="15" customHeight="1" x14ac:dyDescent="0.2">
      <c r="A28" t="s">
        <v>32</v>
      </c>
    </row>
    <row r="29" spans="1:2" ht="15" customHeight="1" x14ac:dyDescent="0.2">
      <c r="A29" t="s">
        <v>33</v>
      </c>
    </row>
    <row r="30" spans="1:2" ht="15" customHeight="1" x14ac:dyDescent="0.2">
      <c r="A30" t="s">
        <v>34</v>
      </c>
    </row>
    <row r="31" spans="1:2" ht="15" customHeight="1" x14ac:dyDescent="0.2">
      <c r="A31" t="s">
        <v>35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"/>
  <sheetViews>
    <sheetView zoomScaleNormal="100" workbookViewId="0"/>
  </sheetViews>
  <sheetFormatPr baseColWidth="10" defaultColWidth="8.6640625" defaultRowHeight="15" x14ac:dyDescent="0.2"/>
  <cols>
    <col min="1" max="1" width="8" customWidth="1"/>
    <col min="2" max="2" width="30" customWidth="1"/>
    <col min="3" max="3" width="35" customWidth="1"/>
    <col min="4" max="4" width="40" customWidth="1"/>
    <col min="5" max="6" width="35" customWidth="1"/>
    <col min="7" max="7" width="15" customWidth="1"/>
  </cols>
  <sheetData>
    <row r="1" spans="1:7" ht="39.75" customHeight="1" x14ac:dyDescent="0.2">
      <c r="A1" s="10" t="s">
        <v>36</v>
      </c>
      <c r="B1" s="10" t="s">
        <v>37</v>
      </c>
      <c r="C1" s="10" t="s">
        <v>38</v>
      </c>
      <c r="D1" s="10" t="s">
        <v>39</v>
      </c>
      <c r="E1" s="10" t="s">
        <v>40</v>
      </c>
      <c r="F1" s="10" t="s">
        <v>41</v>
      </c>
      <c r="G1" s="10" t="s">
        <v>42</v>
      </c>
    </row>
    <row r="2" spans="1:7" ht="60" customHeight="1" x14ac:dyDescent="0.2">
      <c r="A2" s="11" t="s">
        <v>43</v>
      </c>
      <c r="B2" s="11" t="s">
        <v>44</v>
      </c>
      <c r="C2" s="11" t="s">
        <v>45</v>
      </c>
      <c r="D2" s="11" t="s">
        <v>46</v>
      </c>
      <c r="E2" s="11" t="s">
        <v>47</v>
      </c>
      <c r="F2" s="11" t="s">
        <v>48</v>
      </c>
      <c r="G2" s="11" t="s">
        <v>49</v>
      </c>
    </row>
    <row r="3" spans="1:7" ht="60" customHeight="1" x14ac:dyDescent="0.2">
      <c r="A3" s="11" t="s">
        <v>43</v>
      </c>
      <c r="B3" s="11" t="s">
        <v>44</v>
      </c>
      <c r="C3" s="11" t="s">
        <v>50</v>
      </c>
      <c r="D3" s="11" t="s">
        <v>51</v>
      </c>
      <c r="E3" s="11" t="s">
        <v>52</v>
      </c>
      <c r="F3" s="11" t="s">
        <v>53</v>
      </c>
      <c r="G3" s="11" t="s">
        <v>54</v>
      </c>
    </row>
    <row r="4" spans="1:7" ht="60" customHeight="1" x14ac:dyDescent="0.2">
      <c r="A4" s="11" t="s">
        <v>55</v>
      </c>
      <c r="B4" s="11" t="s">
        <v>56</v>
      </c>
      <c r="C4" s="11" t="s">
        <v>57</v>
      </c>
      <c r="D4" s="11" t="s">
        <v>58</v>
      </c>
      <c r="E4" s="11" t="s">
        <v>59</v>
      </c>
      <c r="F4" s="11" t="s">
        <v>60</v>
      </c>
      <c r="G4" s="11" t="s">
        <v>61</v>
      </c>
    </row>
    <row r="5" spans="1:7" ht="60" customHeight="1" x14ac:dyDescent="0.2">
      <c r="A5" s="11" t="s">
        <v>55</v>
      </c>
      <c r="B5" s="11" t="s">
        <v>56</v>
      </c>
      <c r="C5" s="11" t="s">
        <v>62</v>
      </c>
      <c r="D5" s="11" t="s">
        <v>63</v>
      </c>
      <c r="E5" s="11" t="s">
        <v>64</v>
      </c>
      <c r="F5" s="11" t="s">
        <v>65</v>
      </c>
      <c r="G5" s="11" t="s">
        <v>54</v>
      </c>
    </row>
    <row r="6" spans="1:7" ht="60" customHeight="1" x14ac:dyDescent="0.2">
      <c r="A6" s="11" t="s">
        <v>55</v>
      </c>
      <c r="B6" s="11" t="s">
        <v>56</v>
      </c>
      <c r="C6" s="11" t="s">
        <v>66</v>
      </c>
      <c r="D6" s="11" t="s">
        <v>67</v>
      </c>
      <c r="E6" s="11" t="s">
        <v>68</v>
      </c>
      <c r="F6" s="11" t="s">
        <v>69</v>
      </c>
      <c r="G6" s="11" t="s">
        <v>54</v>
      </c>
    </row>
    <row r="7" spans="1:7" ht="60" customHeight="1" x14ac:dyDescent="0.2">
      <c r="A7" s="11" t="s">
        <v>55</v>
      </c>
      <c r="B7" s="11" t="s">
        <v>56</v>
      </c>
      <c r="C7" s="11" t="s">
        <v>70</v>
      </c>
      <c r="D7" s="11" t="s">
        <v>71</v>
      </c>
      <c r="E7" s="11" t="s">
        <v>72</v>
      </c>
      <c r="F7" s="11" t="s">
        <v>73</v>
      </c>
      <c r="G7" s="11" t="s">
        <v>74</v>
      </c>
    </row>
    <row r="8" spans="1:7" ht="60" customHeight="1" x14ac:dyDescent="0.2">
      <c r="A8" s="11" t="s">
        <v>75</v>
      </c>
      <c r="B8" s="11" t="s">
        <v>76</v>
      </c>
      <c r="C8" s="11" t="s">
        <v>77</v>
      </c>
      <c r="D8" s="11" t="s">
        <v>78</v>
      </c>
      <c r="E8" s="11" t="s">
        <v>79</v>
      </c>
      <c r="F8" s="11" t="s">
        <v>80</v>
      </c>
      <c r="G8" s="11" t="s">
        <v>49</v>
      </c>
    </row>
    <row r="9" spans="1:7" ht="60" customHeight="1" x14ac:dyDescent="0.2">
      <c r="A9" s="11" t="s">
        <v>75</v>
      </c>
      <c r="B9" s="11" t="s">
        <v>76</v>
      </c>
      <c r="C9" s="11" t="s">
        <v>81</v>
      </c>
      <c r="D9" s="11" t="s">
        <v>82</v>
      </c>
      <c r="E9" s="11" t="s">
        <v>83</v>
      </c>
      <c r="F9" s="11" t="s">
        <v>84</v>
      </c>
      <c r="G9" s="11" t="s">
        <v>61</v>
      </c>
    </row>
    <row r="10" spans="1:7" ht="60" customHeight="1" x14ac:dyDescent="0.2">
      <c r="A10" s="11" t="s">
        <v>75</v>
      </c>
      <c r="B10" s="11" t="s">
        <v>76</v>
      </c>
      <c r="C10" s="11" t="s">
        <v>85</v>
      </c>
      <c r="D10" s="11" t="s">
        <v>86</v>
      </c>
      <c r="E10" s="11" t="s">
        <v>87</v>
      </c>
      <c r="F10" s="11" t="s">
        <v>88</v>
      </c>
      <c r="G10" s="11" t="s">
        <v>89</v>
      </c>
    </row>
    <row r="11" spans="1:7" ht="60" customHeight="1" x14ac:dyDescent="0.2">
      <c r="A11" s="11" t="s">
        <v>90</v>
      </c>
      <c r="B11" s="11" t="s">
        <v>91</v>
      </c>
      <c r="C11" s="11" t="s">
        <v>92</v>
      </c>
      <c r="D11" s="11" t="s">
        <v>93</v>
      </c>
      <c r="E11" s="11" t="s">
        <v>94</v>
      </c>
      <c r="F11" s="11" t="s">
        <v>95</v>
      </c>
      <c r="G11" s="11" t="s">
        <v>96</v>
      </c>
    </row>
    <row r="12" spans="1:7" ht="60" customHeight="1" x14ac:dyDescent="0.2">
      <c r="A12" s="11" t="s">
        <v>90</v>
      </c>
      <c r="B12" s="11" t="s">
        <v>91</v>
      </c>
      <c r="C12" s="11" t="s">
        <v>97</v>
      </c>
      <c r="D12" s="11" t="s">
        <v>98</v>
      </c>
      <c r="E12" s="11" t="s">
        <v>99</v>
      </c>
      <c r="F12" s="11" t="s">
        <v>100</v>
      </c>
      <c r="G12" s="11" t="s">
        <v>101</v>
      </c>
    </row>
    <row r="13" spans="1:7" ht="60" customHeight="1" x14ac:dyDescent="0.2">
      <c r="A13" s="11" t="s">
        <v>102</v>
      </c>
      <c r="B13" s="11" t="s">
        <v>103</v>
      </c>
      <c r="C13" s="11" t="s">
        <v>104</v>
      </c>
      <c r="D13" s="11" t="s">
        <v>105</v>
      </c>
      <c r="E13" s="11" t="s">
        <v>106</v>
      </c>
      <c r="F13" s="11" t="s">
        <v>107</v>
      </c>
      <c r="G13" s="11" t="s">
        <v>74</v>
      </c>
    </row>
    <row r="14" spans="1:7" ht="60" customHeight="1" x14ac:dyDescent="0.2">
      <c r="A14" s="11" t="s">
        <v>108</v>
      </c>
      <c r="B14" s="11" t="s">
        <v>109</v>
      </c>
      <c r="C14" s="11" t="s">
        <v>110</v>
      </c>
      <c r="D14" s="11" t="s">
        <v>111</v>
      </c>
      <c r="E14" s="11" t="s">
        <v>112</v>
      </c>
      <c r="F14" s="11" t="s">
        <v>113</v>
      </c>
      <c r="G14" s="11" t="s">
        <v>61</v>
      </c>
    </row>
    <row r="15" spans="1:7" ht="60" customHeight="1" x14ac:dyDescent="0.2">
      <c r="A15" s="11" t="s">
        <v>114</v>
      </c>
      <c r="B15" s="11" t="s">
        <v>115</v>
      </c>
      <c r="C15" s="11" t="s">
        <v>116</v>
      </c>
      <c r="D15" s="11" t="s">
        <v>117</v>
      </c>
      <c r="E15" s="11" t="s">
        <v>118</v>
      </c>
      <c r="F15" s="11" t="s">
        <v>119</v>
      </c>
      <c r="G15" s="11" t="s">
        <v>61</v>
      </c>
    </row>
    <row r="16" spans="1:7" ht="60" customHeight="1" x14ac:dyDescent="0.2">
      <c r="A16" s="11" t="s">
        <v>120</v>
      </c>
      <c r="B16" s="11" t="s">
        <v>121</v>
      </c>
      <c r="C16" s="11" t="s">
        <v>122</v>
      </c>
      <c r="D16" s="11" t="s">
        <v>123</v>
      </c>
      <c r="E16" s="11" t="s">
        <v>124</v>
      </c>
      <c r="F16" s="11" t="s">
        <v>125</v>
      </c>
      <c r="G16" s="11" t="s">
        <v>54</v>
      </c>
    </row>
    <row r="17" spans="1:7" ht="60" customHeight="1" x14ac:dyDescent="0.2">
      <c r="A17" s="11" t="s">
        <v>120</v>
      </c>
      <c r="B17" s="11" t="s">
        <v>121</v>
      </c>
      <c r="C17" s="11" t="s">
        <v>126</v>
      </c>
      <c r="D17" s="11" t="s">
        <v>127</v>
      </c>
      <c r="E17" s="11" t="s">
        <v>128</v>
      </c>
      <c r="F17" s="11" t="s">
        <v>129</v>
      </c>
      <c r="G17" s="11" t="s">
        <v>54</v>
      </c>
    </row>
    <row r="18" spans="1:7" ht="60" customHeight="1" x14ac:dyDescent="0.2">
      <c r="A18" s="11" t="s">
        <v>130</v>
      </c>
      <c r="B18" s="11" t="s">
        <v>131</v>
      </c>
      <c r="C18" s="11" t="s">
        <v>132</v>
      </c>
      <c r="D18" s="11" t="s">
        <v>133</v>
      </c>
      <c r="E18" s="11" t="s">
        <v>134</v>
      </c>
      <c r="F18" s="11" t="s">
        <v>135</v>
      </c>
      <c r="G18" s="11" t="s">
        <v>61</v>
      </c>
    </row>
    <row r="19" spans="1:7" ht="60" customHeight="1" x14ac:dyDescent="0.2">
      <c r="A19" s="11" t="s">
        <v>136</v>
      </c>
      <c r="B19" s="11" t="s">
        <v>137</v>
      </c>
      <c r="C19" s="11" t="s">
        <v>138</v>
      </c>
      <c r="D19" s="11" t="s">
        <v>139</v>
      </c>
      <c r="E19" s="11" t="s">
        <v>140</v>
      </c>
      <c r="F19" s="11" t="s">
        <v>141</v>
      </c>
      <c r="G19" s="11" t="s">
        <v>142</v>
      </c>
    </row>
    <row r="20" spans="1:7" ht="60" customHeight="1" x14ac:dyDescent="0.2">
      <c r="A20" s="11" t="s">
        <v>143</v>
      </c>
      <c r="B20" s="11" t="s">
        <v>144</v>
      </c>
      <c r="C20" s="11" t="s">
        <v>145</v>
      </c>
      <c r="D20" s="11" t="s">
        <v>146</v>
      </c>
      <c r="E20" s="11" t="s">
        <v>147</v>
      </c>
      <c r="F20" s="11" t="s">
        <v>148</v>
      </c>
      <c r="G20" s="11" t="s">
        <v>149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7"/>
  <sheetViews>
    <sheetView zoomScaleNormal="100" workbookViewId="0"/>
  </sheetViews>
  <sheetFormatPr baseColWidth="10" defaultColWidth="8.6640625" defaultRowHeight="15" x14ac:dyDescent="0.2"/>
  <cols>
    <col min="1" max="1" width="8" customWidth="1"/>
    <col min="2" max="2" width="30" customWidth="1"/>
    <col min="3" max="3" width="35" customWidth="1"/>
    <col min="4" max="4" width="12" customWidth="1"/>
    <col min="5" max="5" width="40" customWidth="1"/>
    <col min="6" max="6" width="15" customWidth="1"/>
    <col min="7" max="7" width="12" customWidth="1"/>
    <col min="8" max="8" width="20" customWidth="1"/>
  </cols>
  <sheetData>
    <row r="1" spans="1:8" ht="30" customHeight="1" x14ac:dyDescent="0.2">
      <c r="A1" s="10" t="s">
        <v>36</v>
      </c>
      <c r="B1" s="10" t="s">
        <v>150</v>
      </c>
      <c r="C1" s="10" t="s">
        <v>151</v>
      </c>
      <c r="D1" s="10" t="s">
        <v>152</v>
      </c>
      <c r="E1" s="10" t="s">
        <v>153</v>
      </c>
      <c r="F1" s="10" t="s">
        <v>154</v>
      </c>
      <c r="G1" s="10" t="s">
        <v>155</v>
      </c>
      <c r="H1" s="10" t="s">
        <v>156</v>
      </c>
    </row>
    <row r="2" spans="1:8" ht="49.5" customHeight="1" x14ac:dyDescent="0.2">
      <c r="A2" s="11" t="s">
        <v>43</v>
      </c>
      <c r="B2" s="11" t="s">
        <v>44</v>
      </c>
      <c r="C2" s="11" t="s">
        <v>45</v>
      </c>
      <c r="D2" s="12"/>
      <c r="E2" s="13"/>
      <c r="F2" s="14" t="str">
        <f t="shared" ref="F2:F20" si="0">IF(D2="","Not Assessed",IF(D2=0,"Critical",IF(D2=1,"High",IF(D2=2,"Medium","Low"))))</f>
        <v>Not Assessed</v>
      </c>
      <c r="G2" s="12"/>
      <c r="H2" s="13"/>
    </row>
    <row r="3" spans="1:8" ht="49.5" customHeight="1" x14ac:dyDescent="0.2">
      <c r="A3" s="11" t="s">
        <v>43</v>
      </c>
      <c r="B3" s="11" t="s">
        <v>44</v>
      </c>
      <c r="C3" s="11" t="s">
        <v>50</v>
      </c>
      <c r="D3" s="12"/>
      <c r="E3" s="13"/>
      <c r="F3" s="14" t="str">
        <f t="shared" si="0"/>
        <v>Not Assessed</v>
      </c>
      <c r="G3" s="12"/>
      <c r="H3" s="13"/>
    </row>
    <row r="4" spans="1:8" ht="49.5" customHeight="1" x14ac:dyDescent="0.2">
      <c r="A4" s="11" t="s">
        <v>55</v>
      </c>
      <c r="B4" s="11" t="s">
        <v>56</v>
      </c>
      <c r="C4" s="11" t="s">
        <v>57</v>
      </c>
      <c r="D4" s="12"/>
      <c r="E4" s="13"/>
      <c r="F4" s="14" t="str">
        <f t="shared" si="0"/>
        <v>Not Assessed</v>
      </c>
      <c r="G4" s="12"/>
      <c r="H4" s="13"/>
    </row>
    <row r="5" spans="1:8" ht="49.5" customHeight="1" x14ac:dyDescent="0.2">
      <c r="A5" s="11" t="s">
        <v>55</v>
      </c>
      <c r="B5" s="11" t="s">
        <v>56</v>
      </c>
      <c r="C5" s="11" t="s">
        <v>62</v>
      </c>
      <c r="D5" s="12"/>
      <c r="E5" s="13"/>
      <c r="F5" s="14" t="str">
        <f t="shared" si="0"/>
        <v>Not Assessed</v>
      </c>
      <c r="G5" s="12"/>
      <c r="H5" s="13"/>
    </row>
    <row r="6" spans="1:8" ht="49.5" customHeight="1" x14ac:dyDescent="0.2">
      <c r="A6" s="11" t="s">
        <v>55</v>
      </c>
      <c r="B6" s="11" t="s">
        <v>56</v>
      </c>
      <c r="C6" s="11" t="s">
        <v>66</v>
      </c>
      <c r="D6" s="12"/>
      <c r="E6" s="13"/>
      <c r="F6" s="14" t="str">
        <f t="shared" si="0"/>
        <v>Not Assessed</v>
      </c>
      <c r="G6" s="12"/>
      <c r="H6" s="13"/>
    </row>
    <row r="7" spans="1:8" ht="49.5" customHeight="1" x14ac:dyDescent="0.2">
      <c r="A7" s="11" t="s">
        <v>55</v>
      </c>
      <c r="B7" s="11" t="s">
        <v>56</v>
      </c>
      <c r="C7" s="11" t="s">
        <v>70</v>
      </c>
      <c r="D7" s="12"/>
      <c r="E7" s="13"/>
      <c r="F7" s="14" t="str">
        <f t="shared" si="0"/>
        <v>Not Assessed</v>
      </c>
      <c r="G7" s="12"/>
      <c r="H7" s="13"/>
    </row>
    <row r="8" spans="1:8" ht="49.5" customHeight="1" x14ac:dyDescent="0.2">
      <c r="A8" s="11" t="s">
        <v>75</v>
      </c>
      <c r="B8" s="11" t="s">
        <v>76</v>
      </c>
      <c r="C8" s="11" t="s">
        <v>77</v>
      </c>
      <c r="D8" s="12"/>
      <c r="E8" s="13"/>
      <c r="F8" s="14" t="str">
        <f t="shared" si="0"/>
        <v>Not Assessed</v>
      </c>
      <c r="G8" s="12"/>
      <c r="H8" s="13"/>
    </row>
    <row r="9" spans="1:8" ht="49.5" customHeight="1" x14ac:dyDescent="0.2">
      <c r="A9" s="11" t="s">
        <v>75</v>
      </c>
      <c r="B9" s="11" t="s">
        <v>76</v>
      </c>
      <c r="C9" s="11" t="s">
        <v>81</v>
      </c>
      <c r="D9" s="12"/>
      <c r="E9" s="13"/>
      <c r="F9" s="14" t="str">
        <f t="shared" si="0"/>
        <v>Not Assessed</v>
      </c>
      <c r="G9" s="12"/>
      <c r="H9" s="13"/>
    </row>
    <row r="10" spans="1:8" ht="49.5" customHeight="1" x14ac:dyDescent="0.2">
      <c r="A10" s="11" t="s">
        <v>75</v>
      </c>
      <c r="B10" s="11" t="s">
        <v>76</v>
      </c>
      <c r="C10" s="11" t="s">
        <v>85</v>
      </c>
      <c r="D10" s="12"/>
      <c r="E10" s="13"/>
      <c r="F10" s="14" t="str">
        <f t="shared" si="0"/>
        <v>Not Assessed</v>
      </c>
      <c r="G10" s="12"/>
      <c r="H10" s="13"/>
    </row>
    <row r="11" spans="1:8" ht="49.5" customHeight="1" x14ac:dyDescent="0.2">
      <c r="A11" s="11" t="s">
        <v>90</v>
      </c>
      <c r="B11" s="11" t="s">
        <v>91</v>
      </c>
      <c r="C11" s="11" t="s">
        <v>92</v>
      </c>
      <c r="D11" s="12"/>
      <c r="E11" s="13"/>
      <c r="F11" s="14" t="str">
        <f t="shared" si="0"/>
        <v>Not Assessed</v>
      </c>
      <c r="G11" s="12"/>
      <c r="H11" s="13"/>
    </row>
    <row r="12" spans="1:8" ht="49.5" customHeight="1" x14ac:dyDescent="0.2">
      <c r="A12" s="11" t="s">
        <v>90</v>
      </c>
      <c r="B12" s="11" t="s">
        <v>91</v>
      </c>
      <c r="C12" s="11" t="s">
        <v>97</v>
      </c>
      <c r="D12" s="12"/>
      <c r="E12" s="13"/>
      <c r="F12" s="14" t="str">
        <f t="shared" si="0"/>
        <v>Not Assessed</v>
      </c>
      <c r="G12" s="12"/>
      <c r="H12" s="13"/>
    </row>
    <row r="13" spans="1:8" ht="49.5" customHeight="1" x14ac:dyDescent="0.2">
      <c r="A13" s="11" t="s">
        <v>102</v>
      </c>
      <c r="B13" s="11" t="s">
        <v>103</v>
      </c>
      <c r="C13" s="11" t="s">
        <v>104</v>
      </c>
      <c r="D13" s="12"/>
      <c r="E13" s="13"/>
      <c r="F13" s="14" t="str">
        <f t="shared" si="0"/>
        <v>Not Assessed</v>
      </c>
      <c r="G13" s="12"/>
      <c r="H13" s="13"/>
    </row>
    <row r="14" spans="1:8" ht="49.5" customHeight="1" x14ac:dyDescent="0.2">
      <c r="A14" s="11" t="s">
        <v>108</v>
      </c>
      <c r="B14" s="11" t="s">
        <v>109</v>
      </c>
      <c r="C14" s="11" t="s">
        <v>110</v>
      </c>
      <c r="D14" s="12"/>
      <c r="E14" s="13"/>
      <c r="F14" s="14" t="str">
        <f t="shared" si="0"/>
        <v>Not Assessed</v>
      </c>
      <c r="G14" s="12"/>
      <c r="H14" s="13"/>
    </row>
    <row r="15" spans="1:8" ht="49.5" customHeight="1" x14ac:dyDescent="0.2">
      <c r="A15" s="11" t="s">
        <v>114</v>
      </c>
      <c r="B15" s="11" t="s">
        <v>115</v>
      </c>
      <c r="C15" s="11" t="s">
        <v>116</v>
      </c>
      <c r="D15" s="12"/>
      <c r="E15" s="13"/>
      <c r="F15" s="14" t="str">
        <f t="shared" si="0"/>
        <v>Not Assessed</v>
      </c>
      <c r="G15" s="12"/>
      <c r="H15" s="13"/>
    </row>
    <row r="16" spans="1:8" ht="49.5" customHeight="1" x14ac:dyDescent="0.2">
      <c r="A16" s="11" t="s">
        <v>120</v>
      </c>
      <c r="B16" s="11" t="s">
        <v>121</v>
      </c>
      <c r="C16" s="11" t="s">
        <v>122</v>
      </c>
      <c r="D16" s="12"/>
      <c r="E16" s="13"/>
      <c r="F16" s="14" t="str">
        <f t="shared" si="0"/>
        <v>Not Assessed</v>
      </c>
      <c r="G16" s="12"/>
      <c r="H16" s="13"/>
    </row>
    <row r="17" spans="1:8" ht="49.5" customHeight="1" x14ac:dyDescent="0.2">
      <c r="A17" s="11" t="s">
        <v>120</v>
      </c>
      <c r="B17" s="11" t="s">
        <v>121</v>
      </c>
      <c r="C17" s="11" t="s">
        <v>126</v>
      </c>
      <c r="D17" s="12"/>
      <c r="E17" s="13"/>
      <c r="F17" s="14" t="str">
        <f t="shared" si="0"/>
        <v>Not Assessed</v>
      </c>
      <c r="G17" s="12"/>
      <c r="H17" s="13"/>
    </row>
    <row r="18" spans="1:8" ht="49.5" customHeight="1" x14ac:dyDescent="0.2">
      <c r="A18" s="11" t="s">
        <v>130</v>
      </c>
      <c r="B18" s="11" t="s">
        <v>131</v>
      </c>
      <c r="C18" s="11" t="s">
        <v>132</v>
      </c>
      <c r="D18" s="12"/>
      <c r="E18" s="13"/>
      <c r="F18" s="14" t="str">
        <f t="shared" si="0"/>
        <v>Not Assessed</v>
      </c>
      <c r="G18" s="12"/>
      <c r="H18" s="13"/>
    </row>
    <row r="19" spans="1:8" ht="49.5" customHeight="1" x14ac:dyDescent="0.2">
      <c r="A19" s="11" t="s">
        <v>136</v>
      </c>
      <c r="B19" s="11" t="s">
        <v>137</v>
      </c>
      <c r="C19" s="11" t="s">
        <v>138</v>
      </c>
      <c r="D19" s="12"/>
      <c r="E19" s="13"/>
      <c r="F19" s="14" t="str">
        <f t="shared" si="0"/>
        <v>Not Assessed</v>
      </c>
      <c r="G19" s="12"/>
      <c r="H19" s="13"/>
    </row>
    <row r="20" spans="1:8" ht="49.5" customHeight="1" x14ac:dyDescent="0.2">
      <c r="A20" s="11" t="s">
        <v>143</v>
      </c>
      <c r="B20" s="11" t="s">
        <v>144</v>
      </c>
      <c r="C20" s="11" t="s">
        <v>145</v>
      </c>
      <c r="D20" s="12"/>
      <c r="E20" s="13"/>
      <c r="F20" s="14" t="str">
        <f t="shared" si="0"/>
        <v>Not Assessed</v>
      </c>
      <c r="G20" s="12"/>
      <c r="H20" s="13"/>
    </row>
    <row r="23" spans="1:8" ht="15" customHeight="1" x14ac:dyDescent="0.2">
      <c r="A23" s="3" t="s">
        <v>157</v>
      </c>
      <c r="B23" s="3"/>
    </row>
    <row r="24" spans="1:8" ht="15" customHeight="1" x14ac:dyDescent="0.2">
      <c r="A24" t="s">
        <v>158</v>
      </c>
      <c r="B24" s="15" t="str">
        <f>IFERROR(AVERAGE(D2:D21),"")</f>
        <v/>
      </c>
    </row>
    <row r="25" spans="1:8" ht="15" customHeight="1" x14ac:dyDescent="0.2">
      <c r="A25" t="s">
        <v>159</v>
      </c>
      <c r="B25" s="16">
        <f>COUNTIF(F2:F21,"Critical")</f>
        <v>0</v>
      </c>
    </row>
    <row r="26" spans="1:8" ht="15" customHeight="1" x14ac:dyDescent="0.2">
      <c r="A26" t="s">
        <v>160</v>
      </c>
      <c r="B26" s="16">
        <f>COUNTIF(F2:F21,"High")</f>
        <v>0</v>
      </c>
    </row>
    <row r="27" spans="1:8" ht="15" customHeight="1" x14ac:dyDescent="0.2">
      <c r="A27" t="s">
        <v>161</v>
      </c>
      <c r="B27" s="16">
        <f>COUNTIF(D2:D21,3)</f>
        <v>0</v>
      </c>
    </row>
  </sheetData>
  <mergeCells count="1">
    <mergeCell ref="A23:B23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3"/>
  <sheetViews>
    <sheetView zoomScaleNormal="100" workbookViewId="0">
      <selection sqref="A1:F1"/>
    </sheetView>
  </sheetViews>
  <sheetFormatPr baseColWidth="10" defaultColWidth="8.6640625" defaultRowHeight="15" x14ac:dyDescent="0.2"/>
  <cols>
    <col min="1" max="1" width="8" customWidth="1"/>
    <col min="2" max="2" width="35" customWidth="1"/>
    <col min="3" max="3" width="15" customWidth="1"/>
    <col min="4" max="4" width="35" customWidth="1"/>
    <col min="5" max="6" width="40" customWidth="1"/>
  </cols>
  <sheetData>
    <row r="1" spans="1:6" ht="39.75" customHeight="1" x14ac:dyDescent="0.2">
      <c r="A1" s="2" t="s">
        <v>162</v>
      </c>
      <c r="B1" s="2"/>
      <c r="C1" s="2"/>
      <c r="D1" s="2"/>
      <c r="E1" s="2"/>
      <c r="F1" s="2"/>
    </row>
    <row r="2" spans="1:6" ht="49.5" customHeight="1" x14ac:dyDescent="0.2">
      <c r="A2" s="10" t="s">
        <v>163</v>
      </c>
      <c r="B2" s="10" t="s">
        <v>164</v>
      </c>
      <c r="C2" s="10" t="s">
        <v>165</v>
      </c>
      <c r="D2" s="10" t="s">
        <v>166</v>
      </c>
      <c r="E2" s="10" t="s">
        <v>167</v>
      </c>
      <c r="F2" s="10" t="s">
        <v>168</v>
      </c>
    </row>
    <row r="3" spans="1:6" ht="49.5" customHeight="1" x14ac:dyDescent="0.2">
      <c r="A3" s="11" t="s">
        <v>43</v>
      </c>
      <c r="B3" s="11" t="s">
        <v>169</v>
      </c>
      <c r="C3" s="11" t="s">
        <v>170</v>
      </c>
      <c r="D3" s="11" t="s">
        <v>171</v>
      </c>
      <c r="E3" s="11" t="s">
        <v>172</v>
      </c>
      <c r="F3" s="17" t="s">
        <v>173</v>
      </c>
    </row>
    <row r="4" spans="1:6" ht="49.5" customHeight="1" x14ac:dyDescent="0.2">
      <c r="A4" s="11" t="s">
        <v>43</v>
      </c>
      <c r="B4" s="11" t="s">
        <v>174</v>
      </c>
      <c r="C4" s="11" t="s">
        <v>170</v>
      </c>
      <c r="D4" s="11" t="s">
        <v>175</v>
      </c>
      <c r="E4" s="11" t="s">
        <v>176</v>
      </c>
      <c r="F4" s="17" t="s">
        <v>177</v>
      </c>
    </row>
    <row r="5" spans="1:6" ht="49.5" customHeight="1" x14ac:dyDescent="0.2">
      <c r="A5" s="11" t="s">
        <v>55</v>
      </c>
      <c r="B5" s="11" t="s">
        <v>178</v>
      </c>
      <c r="C5" s="11" t="s">
        <v>179</v>
      </c>
      <c r="D5" s="11" t="s">
        <v>180</v>
      </c>
      <c r="E5" s="11" t="s">
        <v>181</v>
      </c>
      <c r="F5" s="17" t="s">
        <v>182</v>
      </c>
    </row>
    <row r="6" spans="1:6" ht="49.5" customHeight="1" x14ac:dyDescent="0.2">
      <c r="A6" s="11" t="s">
        <v>55</v>
      </c>
      <c r="B6" s="11" t="s">
        <v>183</v>
      </c>
      <c r="C6" s="11" t="s">
        <v>179</v>
      </c>
      <c r="D6" s="11" t="s">
        <v>184</v>
      </c>
      <c r="E6" s="11" t="s">
        <v>185</v>
      </c>
      <c r="F6" s="17" t="s">
        <v>186</v>
      </c>
    </row>
    <row r="7" spans="1:6" ht="49.5" customHeight="1" x14ac:dyDescent="0.2">
      <c r="A7" s="11" t="s">
        <v>75</v>
      </c>
      <c r="B7" s="11" t="s">
        <v>187</v>
      </c>
      <c r="C7" s="11" t="s">
        <v>188</v>
      </c>
      <c r="D7" s="11" t="s">
        <v>189</v>
      </c>
      <c r="E7" s="11" t="s">
        <v>190</v>
      </c>
      <c r="F7" s="17" t="s">
        <v>191</v>
      </c>
    </row>
    <row r="8" spans="1:6" ht="49.5" customHeight="1" x14ac:dyDescent="0.2">
      <c r="A8" s="11" t="s">
        <v>75</v>
      </c>
      <c r="B8" s="11" t="s">
        <v>81</v>
      </c>
      <c r="C8" s="11" t="s">
        <v>188</v>
      </c>
      <c r="D8" s="11" t="s">
        <v>192</v>
      </c>
      <c r="E8" s="11" t="s">
        <v>193</v>
      </c>
      <c r="F8" s="17" t="s">
        <v>194</v>
      </c>
    </row>
    <row r="9" spans="1:6" ht="49.5" customHeight="1" x14ac:dyDescent="0.2">
      <c r="A9" s="11" t="s">
        <v>90</v>
      </c>
      <c r="B9" s="11" t="s">
        <v>195</v>
      </c>
      <c r="C9" s="11" t="s">
        <v>196</v>
      </c>
      <c r="D9" s="11" t="s">
        <v>197</v>
      </c>
      <c r="E9" s="11" t="s">
        <v>198</v>
      </c>
      <c r="F9" s="17" t="s">
        <v>199</v>
      </c>
    </row>
    <row r="10" spans="1:6" ht="49.5" customHeight="1" x14ac:dyDescent="0.2">
      <c r="A10" s="11" t="s">
        <v>114</v>
      </c>
      <c r="B10" s="11" t="s">
        <v>115</v>
      </c>
      <c r="C10" s="11" t="s">
        <v>200</v>
      </c>
      <c r="D10" s="11" t="s">
        <v>201</v>
      </c>
      <c r="E10" s="11" t="s">
        <v>202</v>
      </c>
      <c r="F10" s="17" t="s">
        <v>203</v>
      </c>
    </row>
    <row r="11" spans="1:6" ht="49.5" customHeight="1" x14ac:dyDescent="0.2">
      <c r="A11" s="11" t="s">
        <v>120</v>
      </c>
      <c r="B11" s="11" t="s">
        <v>126</v>
      </c>
      <c r="C11" s="11" t="s">
        <v>204</v>
      </c>
      <c r="D11" s="11" t="s">
        <v>205</v>
      </c>
      <c r="E11" s="11" t="s">
        <v>206</v>
      </c>
      <c r="F11" s="17" t="s">
        <v>207</v>
      </c>
    </row>
    <row r="12" spans="1:6" ht="49.5" customHeight="1" x14ac:dyDescent="0.2">
      <c r="A12" s="11" t="s">
        <v>130</v>
      </c>
      <c r="B12" s="11" t="s">
        <v>208</v>
      </c>
      <c r="C12" s="11" t="s">
        <v>209</v>
      </c>
      <c r="D12" s="11" t="s">
        <v>210</v>
      </c>
      <c r="E12" s="11" t="s">
        <v>211</v>
      </c>
      <c r="F12" s="17" t="s">
        <v>212</v>
      </c>
    </row>
    <row r="13" spans="1:6" ht="41.25" customHeight="1" x14ac:dyDescent="0.2">
      <c r="A13" s="11" t="s">
        <v>136</v>
      </c>
      <c r="B13" s="11" t="s">
        <v>213</v>
      </c>
      <c r="C13" s="11" t="s">
        <v>214</v>
      </c>
      <c r="D13" s="11" t="s">
        <v>215</v>
      </c>
      <c r="E13" s="11" t="s">
        <v>216</v>
      </c>
      <c r="F13" s="17" t="s">
        <v>217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4"/>
  <sheetViews>
    <sheetView zoomScaleNormal="100" workbookViewId="0">
      <selection sqref="A1:F1"/>
    </sheetView>
  </sheetViews>
  <sheetFormatPr baseColWidth="10" defaultColWidth="8.6640625" defaultRowHeight="15" x14ac:dyDescent="0.2"/>
  <cols>
    <col min="1" max="1" width="8" customWidth="1"/>
    <col min="2" max="2" width="35" customWidth="1"/>
    <col min="3" max="3" width="12" customWidth="1"/>
    <col min="4" max="4" width="30" customWidth="1"/>
    <col min="5" max="6" width="40" customWidth="1"/>
  </cols>
  <sheetData>
    <row r="1" spans="1:6" ht="39.75" customHeight="1" x14ac:dyDescent="0.2">
      <c r="A1" s="2" t="s">
        <v>218</v>
      </c>
      <c r="B1" s="2"/>
      <c r="C1" s="2"/>
      <c r="D1" s="2"/>
      <c r="E1" s="2"/>
      <c r="F1" s="2"/>
    </row>
    <row r="2" spans="1:6" ht="49.5" customHeight="1" x14ac:dyDescent="0.2">
      <c r="A2" s="10" t="s">
        <v>163</v>
      </c>
      <c r="B2" s="10" t="s">
        <v>164</v>
      </c>
      <c r="C2" s="10" t="s">
        <v>219</v>
      </c>
      <c r="D2" s="10" t="s">
        <v>220</v>
      </c>
      <c r="E2" s="10" t="s">
        <v>221</v>
      </c>
      <c r="F2" s="10" t="s">
        <v>222</v>
      </c>
    </row>
    <row r="3" spans="1:6" ht="49.5" customHeight="1" x14ac:dyDescent="0.2">
      <c r="A3" s="11" t="s">
        <v>43</v>
      </c>
      <c r="B3" s="11" t="s">
        <v>169</v>
      </c>
      <c r="C3" s="11" t="s">
        <v>223</v>
      </c>
      <c r="D3" s="11" t="s">
        <v>224</v>
      </c>
      <c r="E3" s="11" t="s">
        <v>225</v>
      </c>
      <c r="F3" s="17" t="s">
        <v>226</v>
      </c>
    </row>
    <row r="4" spans="1:6" ht="49.5" customHeight="1" x14ac:dyDescent="0.2">
      <c r="A4" s="11" t="s">
        <v>43</v>
      </c>
      <c r="B4" s="11" t="s">
        <v>227</v>
      </c>
      <c r="C4" s="11" t="s">
        <v>228</v>
      </c>
      <c r="D4" s="11" t="s">
        <v>174</v>
      </c>
      <c r="E4" s="11" t="s">
        <v>229</v>
      </c>
      <c r="F4" s="17" t="s">
        <v>230</v>
      </c>
    </row>
    <row r="5" spans="1:6" ht="49.5" customHeight="1" x14ac:dyDescent="0.2">
      <c r="A5" s="11" t="s">
        <v>55</v>
      </c>
      <c r="B5" s="11" t="s">
        <v>178</v>
      </c>
      <c r="C5" s="11" t="s">
        <v>231</v>
      </c>
      <c r="D5" s="11" t="s">
        <v>232</v>
      </c>
      <c r="E5" s="11" t="s">
        <v>233</v>
      </c>
      <c r="F5" s="17" t="s">
        <v>234</v>
      </c>
    </row>
    <row r="6" spans="1:6" ht="49.5" customHeight="1" x14ac:dyDescent="0.2">
      <c r="A6" s="11" t="s">
        <v>75</v>
      </c>
      <c r="B6" s="11" t="s">
        <v>187</v>
      </c>
      <c r="C6" s="11" t="s">
        <v>235</v>
      </c>
      <c r="D6" s="11" t="s">
        <v>236</v>
      </c>
      <c r="E6" s="11" t="s">
        <v>237</v>
      </c>
      <c r="F6" s="17" t="s">
        <v>238</v>
      </c>
    </row>
    <row r="7" spans="1:6" ht="49.5" customHeight="1" x14ac:dyDescent="0.2">
      <c r="A7" s="11" t="s">
        <v>90</v>
      </c>
      <c r="B7" s="11" t="s">
        <v>239</v>
      </c>
      <c r="C7" s="11" t="s">
        <v>240</v>
      </c>
      <c r="D7" s="11" t="s">
        <v>241</v>
      </c>
      <c r="E7" s="11" t="s">
        <v>242</v>
      </c>
      <c r="F7" s="17" t="s">
        <v>243</v>
      </c>
    </row>
    <row r="8" spans="1:6" ht="49.5" customHeight="1" x14ac:dyDescent="0.2">
      <c r="A8" s="11" t="s">
        <v>102</v>
      </c>
      <c r="B8" s="11" t="s">
        <v>244</v>
      </c>
      <c r="C8" s="11" t="s">
        <v>245</v>
      </c>
      <c r="D8" s="11" t="s">
        <v>246</v>
      </c>
      <c r="E8" s="11" t="s">
        <v>247</v>
      </c>
      <c r="F8" s="17" t="s">
        <v>248</v>
      </c>
    </row>
    <row r="9" spans="1:6" ht="49.5" customHeight="1" x14ac:dyDescent="0.2">
      <c r="A9" s="11" t="s">
        <v>108</v>
      </c>
      <c r="B9" s="11" t="s">
        <v>249</v>
      </c>
      <c r="C9" s="11" t="s">
        <v>250</v>
      </c>
      <c r="D9" s="11" t="s">
        <v>251</v>
      </c>
      <c r="E9" s="11" t="s">
        <v>252</v>
      </c>
      <c r="F9" s="17" t="s">
        <v>253</v>
      </c>
    </row>
    <row r="10" spans="1:6" ht="49.5" customHeight="1" x14ac:dyDescent="0.2">
      <c r="A10" s="11" t="s">
        <v>114</v>
      </c>
      <c r="B10" s="11" t="s">
        <v>115</v>
      </c>
      <c r="C10" s="11" t="s">
        <v>254</v>
      </c>
      <c r="D10" s="11" t="s">
        <v>255</v>
      </c>
      <c r="E10" s="11" t="s">
        <v>256</v>
      </c>
      <c r="F10" s="17" t="s">
        <v>257</v>
      </c>
    </row>
    <row r="11" spans="1:6" ht="49.5" customHeight="1" x14ac:dyDescent="0.2">
      <c r="A11" s="11" t="s">
        <v>120</v>
      </c>
      <c r="B11" s="11" t="s">
        <v>258</v>
      </c>
      <c r="C11" s="11" t="s">
        <v>259</v>
      </c>
      <c r="D11" s="11" t="s">
        <v>260</v>
      </c>
      <c r="E11" s="11" t="s">
        <v>261</v>
      </c>
      <c r="F11" s="17" t="s">
        <v>262</v>
      </c>
    </row>
    <row r="12" spans="1:6" ht="49.5" customHeight="1" x14ac:dyDescent="0.2">
      <c r="A12" s="11" t="s">
        <v>130</v>
      </c>
      <c r="B12" s="11" t="s">
        <v>208</v>
      </c>
      <c r="C12" s="11" t="s">
        <v>263</v>
      </c>
      <c r="D12" s="11" t="s">
        <v>264</v>
      </c>
      <c r="E12" s="11" t="s">
        <v>265</v>
      </c>
      <c r="F12" s="17" t="s">
        <v>266</v>
      </c>
    </row>
    <row r="13" spans="1:6" ht="49.5" customHeight="1" x14ac:dyDescent="0.2">
      <c r="A13" s="11" t="s">
        <v>136</v>
      </c>
      <c r="B13" s="11" t="s">
        <v>213</v>
      </c>
      <c r="C13" s="11" t="s">
        <v>267</v>
      </c>
      <c r="D13" s="11" t="s">
        <v>268</v>
      </c>
      <c r="E13" s="11" t="s">
        <v>269</v>
      </c>
      <c r="F13" s="17" t="s">
        <v>270</v>
      </c>
    </row>
    <row r="14" spans="1:6" ht="27.75" customHeight="1" x14ac:dyDescent="0.2">
      <c r="A14" s="11" t="s">
        <v>143</v>
      </c>
      <c r="B14" s="11" t="s">
        <v>271</v>
      </c>
      <c r="C14" s="11" t="s">
        <v>272</v>
      </c>
      <c r="D14" s="11" t="s">
        <v>273</v>
      </c>
      <c r="E14" s="11" t="s">
        <v>274</v>
      </c>
      <c r="F14" s="17" t="s">
        <v>275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7"/>
  <sheetViews>
    <sheetView zoomScaleNormal="100" workbookViewId="0">
      <selection sqref="A1:H1"/>
    </sheetView>
  </sheetViews>
  <sheetFormatPr baseColWidth="10" defaultColWidth="8.6640625" defaultRowHeight="15" x14ac:dyDescent="0.2"/>
  <cols>
    <col min="1" max="1" width="12" customWidth="1"/>
    <col min="2" max="2" width="15" customWidth="1"/>
    <col min="3" max="3" width="8" customWidth="1"/>
    <col min="4" max="4" width="35" customWidth="1"/>
    <col min="5" max="5" width="40" customWidth="1"/>
    <col min="6" max="6" width="30" customWidth="1"/>
    <col min="7" max="7" width="12" customWidth="1"/>
    <col min="8" max="8" width="40" customWidth="1"/>
  </cols>
  <sheetData>
    <row r="1" spans="1:8" ht="39.75" customHeight="1" x14ac:dyDescent="0.2">
      <c r="A1" s="2" t="s">
        <v>276</v>
      </c>
      <c r="B1" s="2"/>
      <c r="C1" s="2"/>
      <c r="D1" s="2"/>
      <c r="E1" s="2"/>
      <c r="F1" s="2"/>
      <c r="G1" s="2"/>
      <c r="H1" s="2"/>
    </row>
    <row r="2" spans="1:8" ht="49.5" customHeight="1" x14ac:dyDescent="0.2">
      <c r="A2" s="10" t="s">
        <v>277</v>
      </c>
      <c r="B2" s="10" t="s">
        <v>278</v>
      </c>
      <c r="C2" s="10" t="s">
        <v>163</v>
      </c>
      <c r="D2" s="10" t="s">
        <v>151</v>
      </c>
      <c r="E2" s="10" t="s">
        <v>279</v>
      </c>
      <c r="F2" s="10" t="s">
        <v>280</v>
      </c>
      <c r="G2" s="10" t="s">
        <v>281</v>
      </c>
      <c r="H2" s="10" t="s">
        <v>282</v>
      </c>
    </row>
    <row r="3" spans="1:8" ht="49.5" customHeight="1" x14ac:dyDescent="0.2">
      <c r="A3" s="18" t="s">
        <v>283</v>
      </c>
      <c r="B3" s="11" t="s">
        <v>284</v>
      </c>
      <c r="C3" s="11" t="s">
        <v>136</v>
      </c>
      <c r="D3" s="11" t="s">
        <v>138</v>
      </c>
      <c r="E3" s="11" t="s">
        <v>285</v>
      </c>
      <c r="F3" s="11" t="s">
        <v>286</v>
      </c>
      <c r="G3" s="11" t="s">
        <v>287</v>
      </c>
      <c r="H3" s="11" t="s">
        <v>288</v>
      </c>
    </row>
    <row r="4" spans="1:8" ht="49.5" customHeight="1" x14ac:dyDescent="0.2">
      <c r="A4" s="18" t="s">
        <v>283</v>
      </c>
      <c r="B4" s="11" t="s">
        <v>284</v>
      </c>
      <c r="C4" s="11" t="s">
        <v>43</v>
      </c>
      <c r="D4" s="11" t="s">
        <v>289</v>
      </c>
      <c r="E4" s="11" t="s">
        <v>290</v>
      </c>
      <c r="F4" s="11" t="s">
        <v>138</v>
      </c>
      <c r="G4" s="11" t="s">
        <v>291</v>
      </c>
      <c r="H4" s="11" t="s">
        <v>292</v>
      </c>
    </row>
    <row r="5" spans="1:8" ht="49.5" customHeight="1" x14ac:dyDescent="0.2">
      <c r="A5" s="18" t="s">
        <v>283</v>
      </c>
      <c r="B5" s="11" t="s">
        <v>284</v>
      </c>
      <c r="C5" s="11" t="s">
        <v>55</v>
      </c>
      <c r="D5" s="11" t="s">
        <v>293</v>
      </c>
      <c r="E5" s="11" t="s">
        <v>294</v>
      </c>
      <c r="F5" s="11" t="s">
        <v>169</v>
      </c>
      <c r="G5" s="11" t="s">
        <v>295</v>
      </c>
      <c r="H5" s="11" t="s">
        <v>296</v>
      </c>
    </row>
    <row r="6" spans="1:8" ht="49.5" customHeight="1" x14ac:dyDescent="0.2">
      <c r="A6" s="18" t="s">
        <v>283</v>
      </c>
      <c r="B6" s="11" t="s">
        <v>284</v>
      </c>
      <c r="C6" s="11" t="s">
        <v>143</v>
      </c>
      <c r="D6" s="11" t="s">
        <v>271</v>
      </c>
      <c r="E6" s="11" t="s">
        <v>297</v>
      </c>
      <c r="F6" s="11" t="s">
        <v>298</v>
      </c>
      <c r="G6" s="11" t="s">
        <v>299</v>
      </c>
      <c r="H6" s="11" t="s">
        <v>300</v>
      </c>
    </row>
    <row r="7" spans="1:8" ht="49.5" customHeight="1" x14ac:dyDescent="0.2">
      <c r="A7" s="19" t="s">
        <v>301</v>
      </c>
      <c r="B7" s="11" t="s">
        <v>302</v>
      </c>
      <c r="C7" s="11" t="s">
        <v>130</v>
      </c>
      <c r="D7" s="11" t="s">
        <v>303</v>
      </c>
      <c r="E7" s="11" t="s">
        <v>304</v>
      </c>
      <c r="F7" s="11" t="s">
        <v>305</v>
      </c>
      <c r="G7" s="11" t="s">
        <v>306</v>
      </c>
      <c r="H7" s="11" t="s">
        <v>307</v>
      </c>
    </row>
    <row r="8" spans="1:8" ht="49.5" customHeight="1" x14ac:dyDescent="0.2">
      <c r="A8" s="19" t="s">
        <v>301</v>
      </c>
      <c r="B8" s="11" t="s">
        <v>302</v>
      </c>
      <c r="C8" s="11" t="s">
        <v>108</v>
      </c>
      <c r="D8" s="11" t="s">
        <v>249</v>
      </c>
      <c r="E8" s="11" t="s">
        <v>308</v>
      </c>
      <c r="F8" s="11" t="s">
        <v>138</v>
      </c>
      <c r="G8" s="11" t="s">
        <v>291</v>
      </c>
      <c r="H8" s="11" t="s">
        <v>309</v>
      </c>
    </row>
    <row r="9" spans="1:8" ht="49.5" customHeight="1" x14ac:dyDescent="0.2">
      <c r="A9" s="19" t="s">
        <v>301</v>
      </c>
      <c r="B9" s="11" t="s">
        <v>302</v>
      </c>
      <c r="C9" s="11" t="s">
        <v>114</v>
      </c>
      <c r="D9" s="11" t="s">
        <v>310</v>
      </c>
      <c r="E9" s="11" t="s">
        <v>311</v>
      </c>
      <c r="F9" s="11" t="s">
        <v>312</v>
      </c>
      <c r="G9" s="11" t="s">
        <v>313</v>
      </c>
      <c r="H9" s="11" t="s">
        <v>314</v>
      </c>
    </row>
    <row r="10" spans="1:8" ht="49.5" customHeight="1" x14ac:dyDescent="0.2">
      <c r="A10" s="19" t="s">
        <v>301</v>
      </c>
      <c r="B10" s="11" t="s">
        <v>302</v>
      </c>
      <c r="C10" s="11" t="s">
        <v>120</v>
      </c>
      <c r="D10" s="11" t="s">
        <v>315</v>
      </c>
      <c r="E10" s="11" t="s">
        <v>316</v>
      </c>
      <c r="F10" s="11" t="s">
        <v>317</v>
      </c>
      <c r="G10" s="11" t="s">
        <v>287</v>
      </c>
      <c r="H10" s="11" t="s">
        <v>318</v>
      </c>
    </row>
    <row r="11" spans="1:8" ht="49.5" customHeight="1" x14ac:dyDescent="0.2">
      <c r="A11" s="20" t="s">
        <v>319</v>
      </c>
      <c r="B11" s="11" t="s">
        <v>320</v>
      </c>
      <c r="C11" s="11" t="s">
        <v>55</v>
      </c>
      <c r="D11" s="11" t="s">
        <v>321</v>
      </c>
      <c r="E11" s="11" t="s">
        <v>322</v>
      </c>
      <c r="F11" s="11" t="s">
        <v>293</v>
      </c>
      <c r="G11" s="11" t="s">
        <v>323</v>
      </c>
      <c r="H11" s="11" t="s">
        <v>324</v>
      </c>
    </row>
    <row r="12" spans="1:8" ht="49.5" customHeight="1" x14ac:dyDescent="0.2">
      <c r="A12" s="20" t="s">
        <v>319</v>
      </c>
      <c r="B12" s="11" t="s">
        <v>320</v>
      </c>
      <c r="C12" s="11" t="s">
        <v>75</v>
      </c>
      <c r="D12" s="11" t="s">
        <v>325</v>
      </c>
      <c r="E12" s="11" t="s">
        <v>326</v>
      </c>
      <c r="F12" s="11" t="s">
        <v>327</v>
      </c>
      <c r="G12" s="11" t="s">
        <v>328</v>
      </c>
      <c r="H12" s="11" t="s">
        <v>329</v>
      </c>
    </row>
    <row r="13" spans="1:8" ht="49.5" customHeight="1" x14ac:dyDescent="0.2">
      <c r="A13" s="20" t="s">
        <v>319</v>
      </c>
      <c r="B13" s="11" t="s">
        <v>320</v>
      </c>
      <c r="C13" s="11" t="s">
        <v>90</v>
      </c>
      <c r="D13" s="11" t="s">
        <v>330</v>
      </c>
      <c r="E13" s="11" t="s">
        <v>331</v>
      </c>
      <c r="F13" s="11" t="s">
        <v>332</v>
      </c>
      <c r="G13" s="11" t="s">
        <v>333</v>
      </c>
      <c r="H13" s="11" t="s">
        <v>334</v>
      </c>
    </row>
    <row r="14" spans="1:8" ht="27.75" customHeight="1" x14ac:dyDescent="0.2">
      <c r="A14" s="20" t="s">
        <v>319</v>
      </c>
      <c r="B14" s="11" t="s">
        <v>320</v>
      </c>
      <c r="C14" s="11" t="s">
        <v>102</v>
      </c>
      <c r="D14" s="11" t="s">
        <v>244</v>
      </c>
      <c r="E14" s="11" t="s">
        <v>335</v>
      </c>
      <c r="F14" s="11" t="s">
        <v>336</v>
      </c>
      <c r="G14" s="11" t="s">
        <v>291</v>
      </c>
      <c r="H14" s="11" t="s">
        <v>337</v>
      </c>
    </row>
    <row r="15" spans="1:8" x14ac:dyDescent="0.2">
      <c r="G15">
        <f>SUM(G3:G14)</f>
        <v>0</v>
      </c>
    </row>
    <row r="17" spans="6:7" ht="15" customHeight="1" x14ac:dyDescent="0.2">
      <c r="F17" s="5" t="s">
        <v>338</v>
      </c>
      <c r="G17" s="16">
        <f>SUM(G2:G13)</f>
        <v>0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31"/>
  <sheetViews>
    <sheetView zoomScaleNormal="100" workbookViewId="0">
      <selection sqref="A1:D1"/>
    </sheetView>
  </sheetViews>
  <sheetFormatPr baseColWidth="10" defaultColWidth="8.6640625" defaultRowHeight="15" x14ac:dyDescent="0.2"/>
  <cols>
    <col min="1" max="1" width="35" customWidth="1"/>
    <col min="2" max="2" width="25" customWidth="1"/>
  </cols>
  <sheetData>
    <row r="1" spans="1:4" ht="19.5" customHeight="1" x14ac:dyDescent="0.25">
      <c r="A1" s="1" t="s">
        <v>339</v>
      </c>
      <c r="B1" s="1"/>
      <c r="C1" s="1"/>
      <c r="D1" s="1"/>
    </row>
    <row r="2" spans="1:4" ht="15" customHeight="1" x14ac:dyDescent="0.2">
      <c r="A2" s="21"/>
      <c r="B2" s="21"/>
    </row>
    <row r="3" spans="1:4" ht="15" customHeight="1" x14ac:dyDescent="0.2">
      <c r="A3" s="22" t="s">
        <v>340</v>
      </c>
      <c r="B3" s="21"/>
    </row>
    <row r="4" spans="1:4" ht="15" customHeight="1" x14ac:dyDescent="0.2">
      <c r="A4" s="21" t="s">
        <v>158</v>
      </c>
      <c r="B4" s="23" t="str">
        <f>IFERROR('Gap Assessment'!B24,"")</f>
        <v/>
      </c>
    </row>
    <row r="5" spans="1:4" ht="15" customHeight="1" x14ac:dyDescent="0.2">
      <c r="A5" s="21" t="s">
        <v>341</v>
      </c>
      <c r="B5" s="24" t="s">
        <v>342</v>
      </c>
    </row>
    <row r="6" spans="1:4" ht="15" customHeight="1" x14ac:dyDescent="0.2">
      <c r="A6" s="21" t="s">
        <v>343</v>
      </c>
      <c r="B6" s="25" t="str">
        <f>IF(B4="","",B4/B5)</f>
        <v/>
      </c>
    </row>
    <row r="7" spans="1:4" ht="15" customHeight="1" x14ac:dyDescent="0.2">
      <c r="A7" s="21"/>
      <c r="B7" s="21"/>
    </row>
    <row r="8" spans="1:4" ht="15" customHeight="1" x14ac:dyDescent="0.2">
      <c r="A8" s="22" t="s">
        <v>344</v>
      </c>
      <c r="B8" s="21"/>
    </row>
    <row r="9" spans="1:4" ht="15" customHeight="1" x14ac:dyDescent="0.2">
      <c r="A9" s="21" t="s">
        <v>159</v>
      </c>
      <c r="B9" s="26">
        <f>'Gap Assessment'!B25</f>
        <v>0</v>
      </c>
    </row>
    <row r="10" spans="1:4" ht="15" customHeight="1" x14ac:dyDescent="0.2">
      <c r="A10" s="21" t="s">
        <v>160</v>
      </c>
      <c r="B10" s="26">
        <f>'Gap Assessment'!B26</f>
        <v>0</v>
      </c>
    </row>
    <row r="11" spans="1:4" ht="15" customHeight="1" x14ac:dyDescent="0.2">
      <c r="A11" s="21" t="s">
        <v>345</v>
      </c>
      <c r="B11" s="26">
        <f>'Gap Assessment'!B27</f>
        <v>0</v>
      </c>
    </row>
    <row r="12" spans="1:4" ht="15" customHeight="1" x14ac:dyDescent="0.2">
      <c r="A12" s="21"/>
      <c r="B12" s="21"/>
    </row>
    <row r="13" spans="1:4" ht="15" customHeight="1" x14ac:dyDescent="0.2">
      <c r="A13" s="22" t="s">
        <v>346</v>
      </c>
      <c r="B13" s="21"/>
    </row>
    <row r="14" spans="1:4" ht="15" customHeight="1" x14ac:dyDescent="0.2">
      <c r="A14" s="21" t="s">
        <v>347</v>
      </c>
      <c r="B14" s="21" t="s">
        <v>348</v>
      </c>
    </row>
    <row r="15" spans="1:4" ht="15" customHeight="1" x14ac:dyDescent="0.2">
      <c r="A15" s="21" t="s">
        <v>349</v>
      </c>
      <c r="B15" s="21" t="s">
        <v>350</v>
      </c>
    </row>
    <row r="16" spans="1:4" ht="15" customHeight="1" x14ac:dyDescent="0.2">
      <c r="A16" s="21"/>
      <c r="B16" s="21"/>
    </row>
    <row r="17" spans="1:2" ht="15" customHeight="1" x14ac:dyDescent="0.2">
      <c r="A17" s="22" t="s">
        <v>351</v>
      </c>
      <c r="B17" s="21"/>
    </row>
    <row r="18" spans="1:2" ht="15" customHeight="1" x14ac:dyDescent="0.2">
      <c r="A18" s="21" t="s">
        <v>352</v>
      </c>
      <c r="B18" s="21" t="s">
        <v>353</v>
      </c>
    </row>
    <row r="19" spans="1:2" ht="15" customHeight="1" x14ac:dyDescent="0.2">
      <c r="A19" s="21" t="s">
        <v>354</v>
      </c>
      <c r="B19" s="21" t="s">
        <v>353</v>
      </c>
    </row>
    <row r="20" spans="1:2" ht="15" customHeight="1" x14ac:dyDescent="0.2">
      <c r="A20" s="21" t="s">
        <v>355</v>
      </c>
      <c r="B20" s="21" t="s">
        <v>353</v>
      </c>
    </row>
    <row r="21" spans="1:2" ht="15" customHeight="1" x14ac:dyDescent="0.2">
      <c r="A21" s="21"/>
      <c r="B21" s="21"/>
    </row>
    <row r="22" spans="1:2" ht="15" customHeight="1" x14ac:dyDescent="0.2">
      <c r="A22" s="22" t="s">
        <v>356</v>
      </c>
      <c r="B22" s="21"/>
    </row>
    <row r="23" spans="1:2" ht="15" customHeight="1" x14ac:dyDescent="0.2">
      <c r="A23" s="21" t="s">
        <v>357</v>
      </c>
      <c r="B23" s="26">
        <f>'Priority &amp; Roadmap'!G15</f>
        <v>0</v>
      </c>
    </row>
    <row r="24" spans="1:2" ht="15" customHeight="1" x14ac:dyDescent="0.2">
      <c r="A24" s="21" t="s">
        <v>358</v>
      </c>
      <c r="B24" s="21" t="s">
        <v>359</v>
      </c>
    </row>
    <row r="26" spans="1:2" ht="15" customHeight="1" x14ac:dyDescent="0.2">
      <c r="A26" s="27" t="s">
        <v>360</v>
      </c>
    </row>
    <row r="27" spans="1:2" ht="15" customHeight="1" x14ac:dyDescent="0.2">
      <c r="A27" t="s">
        <v>361</v>
      </c>
    </row>
    <row r="28" spans="1:2" ht="15" customHeight="1" x14ac:dyDescent="0.2">
      <c r="A28" t="s">
        <v>362</v>
      </c>
    </row>
    <row r="29" spans="1:2" ht="15" customHeight="1" x14ac:dyDescent="0.2">
      <c r="A29" t="s">
        <v>363</v>
      </c>
    </row>
    <row r="30" spans="1:2" ht="15" customHeight="1" x14ac:dyDescent="0.2">
      <c r="A30" t="s">
        <v>364</v>
      </c>
    </row>
    <row r="31" spans="1:2" ht="15" customHeight="1" x14ac:dyDescent="0.2">
      <c r="A31" t="s">
        <v>365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Instructions</vt:lpstr>
      <vt:lpstr>NIS2 Requirements</vt:lpstr>
      <vt:lpstr>Gap Assessment</vt:lpstr>
      <vt:lpstr>GDPR Crosswalk</vt:lpstr>
      <vt:lpstr>ISO 27001 Crosswalk</vt:lpstr>
      <vt:lpstr>Priority &amp; Roadmap</vt:lpstr>
      <vt:lpstr>Compliance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k. shreenath bohra</cp:lastModifiedBy>
  <cp:revision>0</cp:revision>
  <dcterms:created xsi:type="dcterms:W3CDTF">2025-12-13T21:19:39Z</dcterms:created>
  <dcterms:modified xsi:type="dcterms:W3CDTF">2026-01-02T10:14:42Z</dcterms:modified>
  <dc:language>en-US</dc:language>
</cp:coreProperties>
</file>